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Energiedaten" sheetId="1" state="visible" r:id="rId2"/>
    <sheet name="Energiedaten-TF" sheetId="2" state="visible" r:id="rId3"/>
    <sheet name="Energiedaten-TF-BEG" sheetId="3"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<sst xmlns="http://schemas.openxmlformats.org/spreadsheetml/2006/main" count="1680" uniqueCount="47">
  <si>
    <t xml:space="preserve">Die Informationen in den Reports werden auf Basis der Datensätze generiert, welche entsprechend den gesetzlichen Bestimmungen für intelligente Messgeräte (Elektrizitätswirtschafts- und organisationsgesetz 2010 sowie Datenformat und VerbrauchsinformationsdarstellungsVO 2012), vom Netzbetreiber übermittelt werden. Die EDA GmbH übernimmt daher keinerlei Gewähr für die Aktualität, Korrektheit, Vollständigkeit oder Qualität der bereitgestellten Informationen. Jegliche Haftungsansprüche gegen die EDA GmbH, die durch die Nutzung oder Nichtnutzung der dargebotenen Informationen bzw. durch die Nutzung fehlerhafter und unvollständiger Informationen verursacht wurden, sind daher ausgeschlossen. Zur Abklärung fehlender, inkorrekter oder unvollständiger Informationen in den Reports kann sich jede betroffene Person an den zuständigen Netzbetreiber wenden.</t>
  </si>
  <si>
    <t xml:space="preserve">MeteringpointID</t>
  </si>
  <si>
    <t xml:space="preserve">AT0020000000000000000000020566533</t>
  </si>
  <si>
    <t xml:space="preserve">MM</t>
  </si>
  <si>
    <t xml:space="preserve">AT0020000000000000000000020568344</t>
  </si>
  <si>
    <t xml:space="preserve">AT0020000000000000000000020582104</t>
  </si>
  <si>
    <t xml:space="preserve">AT0020000000000000000000100036620</t>
  </si>
  <si>
    <t xml:space="preserve">AT0020000000000000000000100098655</t>
  </si>
  <si>
    <t xml:space="preserve">AT0020000000000000000000100273916</t>
  </si>
  <si>
    <t xml:space="preserve">AT0020000000000000000000100364887</t>
  </si>
  <si>
    <t xml:space="preserve">TOTAL</t>
  </si>
  <si>
    <t xml:space="preserve">Name</t>
  </si>
  <si>
    <t xml:space="preserve">Harry's Gastrotainment Schmids</t>
  </si>
  <si>
    <t xml:space="preserve">Harrys Gastrotainment GmbH null</t>
  </si>
  <si>
    <t xml:space="preserve">Harrys Gastrotainment GmbH Zentrale Palt</t>
  </si>
  <si>
    <t xml:space="preserve">Harry's Gastrotainment 2Stein</t>
  </si>
  <si>
    <t xml:space="preserve">Harry's Gastrotainment Poldi</t>
  </si>
  <si>
    <t xml:space="preserve">Markus Amon null</t>
  </si>
  <si>
    <t xml:space="preserve">Energy direction</t>
  </si>
  <si>
    <t xml:space="preserve">CONSUMPTION</t>
  </si>
  <si>
    <t xml:space="preserve">GENERATION</t>
  </si>
  <si>
    <t xml:space="preserve">Report Filter start</t>
  </si>
  <si>
    <t xml:space="preserve">Report Filter end</t>
  </si>
  <si>
    <t xml:space="preserve">Data Period start</t>
  </si>
  <si>
    <t xml:space="preserve">Data Period end</t>
  </si>
  <si>
    <t xml:space="preserve">Metering Point active start</t>
  </si>
  <si>
    <t xml:space="preserve">Metering Point active end</t>
  </si>
  <si>
    <t xml:space="preserve">MeteringReason</t>
  </si>
  <si>
    <t xml:space="preserve">SM Datenübermittlung</t>
  </si>
  <si>
    <t xml:space="preserve">Metering Interval</t>
  </si>
  <si>
    <t xml:space="preserve">QH (viertelstündlich)</t>
  </si>
  <si>
    <t xml:space="preserve">Number of Metering Intervals</t>
  </si>
  <si>
    <t xml:space="preserve">Metercode</t>
  </si>
  <si>
    <t xml:space="preserve">Gesamtverbrauch lt. Messung (bei Teilnahme gem. Erzeugung) [KWH]</t>
  </si>
  <si>
    <t xml:space="preserve">Anteil gemeinschaftliche Erzeugung [KWH]</t>
  </si>
  <si>
    <t xml:space="preserve">Eigendeckung gemeinschaftliche Erzeugung [KWH]</t>
  </si>
  <si>
    <t xml:space="preserve">Eigendeckung aus erneuerbarer Energie [KWH]</t>
  </si>
  <si>
    <t xml:space="preserve">Verbrauch lt. Messung entsprechend dem Teilnahmefaktor je ZP und EC-ID [KWH]</t>
  </si>
  <si>
    <t xml:space="preserve">Gesamte gemeinschaftliche Erzeugung [KWH]</t>
  </si>
  <si>
    <t xml:space="preserve">Erzeugung lt. Messung entsprechend dem Teilnahmefaktor und EC-ID [KWH]</t>
  </si>
  <si>
    <t xml:space="preserve">Restüberschuss bei EG und je ZP [KWH]</t>
  </si>
  <si>
    <t xml:space="preserve">Gesamt/Überschusserzeugung, Gemeinschaftsüberschuss [KWH]</t>
  </si>
  <si>
    <t xml:space="preserve">Data Completeness</t>
  </si>
  <si>
    <t xml:space="preserve">INCOMPLETE</t>
  </si>
  <si>
    <t xml:space="preserve">Spaltensumme / minimale Qualität</t>
  </si>
  <si>
    <t xml:space="preserve">L3</t>
  </si>
  <si>
    <t xml:space="preserve">L1</t>
  </si>
</sst>
</file>

<file path=xl/styles.xml><?xml version="1.0" encoding="utf-8"?>
<styleSheet xmlns="http://schemas.openxmlformats.org/spreadsheetml/2006/main">
  <numFmts count="3">
    <numFmt numFmtId="164" formatCode="General"/>
    <numFmt numFmtId="165" formatCode="dd\.mm\.yyyy\ hh:mm:ss"/>
    <numFmt numFmtId="166" formatCode="#,##0.000000"/>
  </numFmts>
  <fonts count="5">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right"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Z1048576"/>
  <sheetViews>
    <sheetView showFormulas="false" showGridLines="true" showRowColHeaders="true" showZeros="true" rightToLeft="false" tabSelected="false" showOutlineSymbols="true" defaultGridColor="true" view="normal" topLeftCell="BL1" colorId="64" zoomScale="78" zoomScaleNormal="78" zoomScalePageLayoutView="100" workbookViewId="0">
      <pane xSplit="0" ySplit="11" topLeftCell="A12" activePane="bottomLeft" state="frozen"/>
      <selection pane="topLeft" activeCell="BL1" activeCellId="0" sqref="BL1"/>
      <selection pane="bottomLeft" activeCell="BP35" activeCellId="0" sqref="BP35"/>
    </sheetView>
  </sheetViews>
  <sheetFormatPr defaultColWidth="40.54296875" defaultRowHeight="13.8" zeroHeight="false" outlineLevelRow="0" outlineLevelCol="0"/>
  <cols>
    <col collapsed="false" customWidth="true" hidden="false" outlineLevel="0" max="3" min="3" style="0" width="3.91"/>
    <col collapsed="false" customWidth="true" hidden="false" outlineLevel="0" max="5" min="5" style="0" width="3.91"/>
    <col collapsed="false" customWidth="true" hidden="false" outlineLevel="0" max="7" min="7" style="0" width="3.91"/>
    <col collapsed="false" customWidth="true" hidden="false" outlineLevel="0" max="9" min="9" style="0" width="3.91"/>
    <col collapsed="false" customWidth="true" hidden="false" outlineLevel="0" max="11" min="11" style="0" width="3.91"/>
    <col collapsed="false" customWidth="true" hidden="false" outlineLevel="0" max="13" min="13" style="0" width="3.91"/>
    <col collapsed="false" customWidth="true" hidden="false" outlineLevel="0" max="15" min="15" style="0" width="3.91"/>
    <col collapsed="false" customWidth="true" hidden="false" outlineLevel="0" max="17" min="17" style="0" width="3.91"/>
    <col collapsed="false" customWidth="true" hidden="false" outlineLevel="0" max="19" min="19" style="0" width="3.91"/>
    <col collapsed="false" customWidth="true" hidden="false" outlineLevel="0" max="21" min="21" style="0" width="3.91"/>
    <col collapsed="false" customWidth="true" hidden="false" outlineLevel="0" max="23" min="23" style="0" width="3.91"/>
    <col collapsed="false" customWidth="true" hidden="false" outlineLevel="0" max="25" min="25" style="0" width="3.91"/>
    <col collapsed="false" customWidth="true" hidden="false" outlineLevel="0" max="27" min="27" style="0" width="3.91"/>
    <col collapsed="false" customWidth="true" hidden="false" outlineLevel="0" max="29" min="29" style="0" width="3.91"/>
    <col collapsed="false" customWidth="true" hidden="false" outlineLevel="0" max="31" min="31" style="0" width="3.91"/>
    <col collapsed="false" customWidth="true" hidden="false" outlineLevel="0" max="33" min="33" style="0" width="3.91"/>
    <col collapsed="false" customWidth="true" hidden="false" outlineLevel="0" max="35" min="35" style="0" width="3.91"/>
    <col collapsed="false" customWidth="true" hidden="false" outlineLevel="0" max="37" min="37" style="0" width="3.91"/>
    <col collapsed="false" customWidth="true" hidden="false" outlineLevel="0" max="39" min="39" style="0" width="3.91"/>
    <col collapsed="false" customWidth="true" hidden="false" outlineLevel="0" max="41" min="41" style="0" width="3.91"/>
    <col collapsed="false" customWidth="true" hidden="false" outlineLevel="0" max="43" min="43" style="0" width="3.91"/>
    <col collapsed="false" customWidth="true" hidden="false" outlineLevel="0" max="45" min="45" style="0" width="3.91"/>
    <col collapsed="false" customWidth="true" hidden="false" outlineLevel="0" max="47" min="47" style="0" width="3.91"/>
    <col collapsed="false" customWidth="true" hidden="false" outlineLevel="0" max="49" min="49" style="0" width="3.91"/>
    <col collapsed="false" customWidth="true" hidden="false" outlineLevel="0" max="51" min="51" style="0" width="3.91"/>
    <col collapsed="false" customWidth="true" hidden="false" outlineLevel="0" max="53" min="53" style="0" width="3.91"/>
    <col collapsed="false" customWidth="true" hidden="false" outlineLevel="0" max="55" min="55" style="0" width="3.91"/>
    <col collapsed="false" customWidth="true" hidden="false" outlineLevel="0" max="57" min="57" style="0" width="3.91"/>
    <col collapsed="false" customWidth="true" hidden="false" outlineLevel="0" max="59" min="59" style="0" width="3.91"/>
    <col collapsed="false" customWidth="true" hidden="false" outlineLevel="0" max="61" min="61" style="0" width="3.91"/>
    <col collapsed="false" customWidth="true" hidden="false" outlineLevel="0" max="63" min="63" style="0" width="3.91"/>
    <col collapsed="false" customWidth="true" hidden="false" outlineLevel="0" max="65" min="65" style="0" width="3.91"/>
    <col collapsed="false" customWidth="true" hidden="false" outlineLevel="0" max="67" min="67" style="0" width="3.91"/>
    <col collapsed="false" customWidth="true" hidden="false" outlineLevel="0" max="69" min="69" style="0" width="3.91"/>
  </cols>
  <sheetData>
    <row r="1" customFormat="false" ht="13.8" hidden="false" customHeight="false" outlineLevel="0" collapsed="false">
      <c r="A1" s="0" t="s">
        <v>0</v>
      </c>
    </row>
    <row r="2" customFormat="false" ht="13.8" hidden="false" customHeight="false" outlineLevel="0" collapsed="false">
      <c r="A2" s="1" t="s">
        <v>1</v>
      </c>
      <c r="B2" s="2" t="s">
        <v>2</v>
      </c>
      <c r="C2" s="2" t="s">
        <v>3</v>
      </c>
      <c r="D2" s="2" t="s">
        <v>2</v>
      </c>
      <c r="E2" s="2" t="s">
        <v>3</v>
      </c>
      <c r="F2" s="2" t="s">
        <v>2</v>
      </c>
      <c r="G2" s="2" t="s">
        <v>3</v>
      </c>
      <c r="H2" s="2" t="s">
        <v>2</v>
      </c>
      <c r="I2" s="2" t="s">
        <v>3</v>
      </c>
      <c r="J2" s="2" t="s">
        <v>2</v>
      </c>
      <c r="K2" s="2" t="s">
        <v>3</v>
      </c>
      <c r="L2" s="2" t="s">
        <v>4</v>
      </c>
      <c r="M2" s="2" t="s">
        <v>3</v>
      </c>
      <c r="N2" s="2" t="s">
        <v>4</v>
      </c>
      <c r="O2" s="2" t="s">
        <v>3</v>
      </c>
      <c r="P2" s="2" t="s">
        <v>4</v>
      </c>
      <c r="Q2" s="2" t="s">
        <v>3</v>
      </c>
      <c r="R2" s="2" t="s">
        <v>4</v>
      </c>
      <c r="S2" s="2" t="s">
        <v>3</v>
      </c>
      <c r="T2" s="2" t="s">
        <v>4</v>
      </c>
      <c r="U2" s="2" t="s">
        <v>3</v>
      </c>
      <c r="V2" s="2" t="s">
        <v>5</v>
      </c>
      <c r="W2" s="2" t="s">
        <v>3</v>
      </c>
      <c r="X2" s="2" t="s">
        <v>5</v>
      </c>
      <c r="Y2" s="2" t="s">
        <v>3</v>
      </c>
      <c r="Z2" s="2" t="s">
        <v>5</v>
      </c>
      <c r="AA2" s="2" t="s">
        <v>3</v>
      </c>
      <c r="AB2" s="2" t="s">
        <v>5</v>
      </c>
      <c r="AC2" s="2" t="s">
        <v>3</v>
      </c>
      <c r="AD2" s="2" t="s">
        <v>5</v>
      </c>
      <c r="AE2" s="2" t="s">
        <v>3</v>
      </c>
      <c r="AF2" s="2" t="s">
        <v>6</v>
      </c>
      <c r="AG2" s="2" t="s">
        <v>3</v>
      </c>
      <c r="AH2" s="2" t="s">
        <v>6</v>
      </c>
      <c r="AI2" s="2" t="s">
        <v>3</v>
      </c>
      <c r="AJ2" s="2" t="s">
        <v>6</v>
      </c>
      <c r="AK2" s="2" t="s">
        <v>3</v>
      </c>
      <c r="AL2" s="2" t="s">
        <v>6</v>
      </c>
      <c r="AM2" s="2" t="s">
        <v>3</v>
      </c>
      <c r="AN2" s="2" t="s">
        <v>6</v>
      </c>
      <c r="AO2" s="2" t="s">
        <v>3</v>
      </c>
      <c r="AP2" s="2" t="s">
        <v>7</v>
      </c>
      <c r="AQ2" s="2" t="s">
        <v>3</v>
      </c>
      <c r="AR2" s="2" t="s">
        <v>7</v>
      </c>
      <c r="AS2" s="2" t="s">
        <v>3</v>
      </c>
      <c r="AT2" s="2" t="s">
        <v>7</v>
      </c>
      <c r="AU2" s="2" t="s">
        <v>3</v>
      </c>
      <c r="AV2" s="2" t="s">
        <v>7</v>
      </c>
      <c r="AW2" s="2" t="s">
        <v>3</v>
      </c>
      <c r="AX2" s="2" t="s">
        <v>7</v>
      </c>
      <c r="AY2" s="2" t="s">
        <v>3</v>
      </c>
      <c r="AZ2" s="2" t="s">
        <v>8</v>
      </c>
      <c r="BA2" s="2" t="s">
        <v>3</v>
      </c>
      <c r="BB2" s="2" t="s">
        <v>8</v>
      </c>
      <c r="BC2" s="2" t="s">
        <v>3</v>
      </c>
      <c r="BD2" s="2" t="s">
        <v>8</v>
      </c>
      <c r="BE2" s="2" t="s">
        <v>3</v>
      </c>
      <c r="BF2" s="2" t="s">
        <v>8</v>
      </c>
      <c r="BG2" s="2" t="s">
        <v>3</v>
      </c>
      <c r="BH2" s="2" t="s">
        <v>8</v>
      </c>
      <c r="BI2" s="2" t="s">
        <v>3</v>
      </c>
      <c r="BJ2" s="2" t="s">
        <v>9</v>
      </c>
      <c r="BK2" s="2" t="s">
        <v>3</v>
      </c>
      <c r="BL2" s="2" t="s">
        <v>9</v>
      </c>
      <c r="BM2" s="2" t="s">
        <v>3</v>
      </c>
      <c r="BN2" s="2" t="s">
        <v>9</v>
      </c>
      <c r="BO2" s="2" t="s">
        <v>3</v>
      </c>
      <c r="BP2" s="2" t="s">
        <v>9</v>
      </c>
      <c r="BQ2" s="2" t="s">
        <v>3</v>
      </c>
      <c r="BR2" s="2" t="s">
        <v>10</v>
      </c>
      <c r="BS2" s="2" t="s">
        <v>10</v>
      </c>
      <c r="BT2" s="2" t="s">
        <v>10</v>
      </c>
      <c r="BU2" s="2" t="s">
        <v>10</v>
      </c>
      <c r="BV2" s="2" t="s">
        <v>10</v>
      </c>
      <c r="BW2" s="2" t="s">
        <v>10</v>
      </c>
      <c r="BX2" s="2" t="s">
        <v>10</v>
      </c>
      <c r="BY2" s="2" t="s">
        <v>10</v>
      </c>
      <c r="BZ2" s="2" t="s">
        <v>10</v>
      </c>
    </row>
    <row r="3" customFormat="false" ht="13.8" hidden="false" customHeight="false" outlineLevel="0" collapsed="false">
      <c r="A3" s="1" t="s">
        <v>11</v>
      </c>
      <c r="B3" s="2" t="s">
        <v>12</v>
      </c>
      <c r="D3" s="2" t="s">
        <v>12</v>
      </c>
      <c r="F3" s="2" t="s">
        <v>12</v>
      </c>
      <c r="H3" s="2" t="s">
        <v>12</v>
      </c>
      <c r="J3" s="2" t="s">
        <v>12</v>
      </c>
      <c r="L3" s="2" t="s">
        <v>13</v>
      </c>
      <c r="N3" s="2" t="s">
        <v>13</v>
      </c>
      <c r="P3" s="2" t="s">
        <v>13</v>
      </c>
      <c r="R3" s="2" t="s">
        <v>13</v>
      </c>
      <c r="T3" s="2" t="s">
        <v>13</v>
      </c>
      <c r="V3" s="2" t="s">
        <v>14</v>
      </c>
      <c r="X3" s="2" t="s">
        <v>14</v>
      </c>
      <c r="Z3" s="2" t="s">
        <v>14</v>
      </c>
      <c r="AB3" s="2" t="s">
        <v>14</v>
      </c>
      <c r="AD3" s="2" t="s">
        <v>14</v>
      </c>
      <c r="AF3" s="2" t="s">
        <v>12</v>
      </c>
      <c r="AH3" s="2" t="s">
        <v>12</v>
      </c>
      <c r="AJ3" s="2" t="s">
        <v>12</v>
      </c>
      <c r="AL3" s="2" t="s">
        <v>12</v>
      </c>
      <c r="AN3" s="2" t="s">
        <v>12</v>
      </c>
      <c r="AP3" s="2" t="s">
        <v>15</v>
      </c>
      <c r="AR3" s="2" t="s">
        <v>15</v>
      </c>
      <c r="AT3" s="2" t="s">
        <v>15</v>
      </c>
      <c r="AV3" s="2" t="s">
        <v>15</v>
      </c>
      <c r="AX3" s="2" t="s">
        <v>15</v>
      </c>
      <c r="AZ3" s="2" t="s">
        <v>16</v>
      </c>
      <c r="BB3" s="2" t="s">
        <v>16</v>
      </c>
      <c r="BD3" s="2" t="s">
        <v>16</v>
      </c>
      <c r="BF3" s="2" t="s">
        <v>16</v>
      </c>
      <c r="BH3" s="2" t="s">
        <v>16</v>
      </c>
      <c r="BJ3" s="2" t="s">
        <v>17</v>
      </c>
      <c r="BL3" s="2" t="s">
        <v>17</v>
      </c>
      <c r="BN3" s="2" t="s">
        <v>17</v>
      </c>
      <c r="BP3" s="2" t="s">
        <v>17</v>
      </c>
    </row>
    <row r="4" customFormat="false" ht="13.8" hidden="false" customHeight="false" outlineLevel="0" collapsed="false">
      <c r="A4" s="1" t="s">
        <v>18</v>
      </c>
      <c r="B4" s="2" t="s">
        <v>19</v>
      </c>
      <c r="D4" s="2" t="s">
        <v>19</v>
      </c>
      <c r="F4" s="2" t="s">
        <v>19</v>
      </c>
      <c r="H4" s="2" t="s">
        <v>19</v>
      </c>
      <c r="J4" s="2" t="s">
        <v>19</v>
      </c>
      <c r="L4" s="2" t="s">
        <v>19</v>
      </c>
      <c r="N4" s="2" t="s">
        <v>19</v>
      </c>
      <c r="P4" s="2" t="s">
        <v>19</v>
      </c>
      <c r="R4" s="2" t="s">
        <v>19</v>
      </c>
      <c r="T4" s="2" t="s">
        <v>19</v>
      </c>
      <c r="V4" s="2" t="s">
        <v>19</v>
      </c>
      <c r="X4" s="2" t="s">
        <v>19</v>
      </c>
      <c r="Z4" s="2" t="s">
        <v>19</v>
      </c>
      <c r="AB4" s="2" t="s">
        <v>19</v>
      </c>
      <c r="AD4" s="2" t="s">
        <v>19</v>
      </c>
      <c r="AF4" s="2" t="s">
        <v>19</v>
      </c>
      <c r="AH4" s="2" t="s">
        <v>19</v>
      </c>
      <c r="AJ4" s="2" t="s">
        <v>19</v>
      </c>
      <c r="AL4" s="2" t="s">
        <v>19</v>
      </c>
      <c r="AN4" s="2" t="s">
        <v>19</v>
      </c>
      <c r="AP4" s="2" t="s">
        <v>19</v>
      </c>
      <c r="AR4" s="2" t="s">
        <v>19</v>
      </c>
      <c r="AT4" s="2" t="s">
        <v>19</v>
      </c>
      <c r="AV4" s="2" t="s">
        <v>19</v>
      </c>
      <c r="AX4" s="2" t="s">
        <v>19</v>
      </c>
      <c r="AZ4" s="2" t="s">
        <v>19</v>
      </c>
      <c r="BB4" s="2" t="s">
        <v>19</v>
      </c>
      <c r="BD4" s="2" t="s">
        <v>19</v>
      </c>
      <c r="BF4" s="2" t="s">
        <v>19</v>
      </c>
      <c r="BH4" s="2" t="s">
        <v>19</v>
      </c>
      <c r="BJ4" s="2" t="s">
        <v>20</v>
      </c>
      <c r="BL4" s="2" t="s">
        <v>20</v>
      </c>
      <c r="BN4" s="2" t="s">
        <v>20</v>
      </c>
      <c r="BP4" s="2" t="s">
        <v>20</v>
      </c>
    </row>
    <row r="5" customFormat="false" ht="13.8" hidden="false" customHeight="false" outlineLevel="0" collapsed="false">
      <c r="A5" s="1" t="s">
        <v>21</v>
      </c>
      <c r="B5" s="3" t="n">
        <v>45383</v>
      </c>
      <c r="D5" s="3" t="n">
        <v>45383</v>
      </c>
      <c r="F5" s="3" t="n">
        <v>45383</v>
      </c>
      <c r="H5" s="3" t="n">
        <v>45383</v>
      </c>
      <c r="J5" s="3" t="n">
        <v>45383</v>
      </c>
      <c r="L5" s="3" t="n">
        <v>45383</v>
      </c>
      <c r="N5" s="3" t="n">
        <v>45383</v>
      </c>
      <c r="P5" s="3" t="n">
        <v>45383</v>
      </c>
      <c r="R5" s="3" t="n">
        <v>45383</v>
      </c>
      <c r="T5" s="3" t="n">
        <v>45383</v>
      </c>
      <c r="V5" s="3" t="n">
        <v>45383</v>
      </c>
      <c r="X5" s="3" t="n">
        <v>45383</v>
      </c>
      <c r="Z5" s="3" t="n">
        <v>45383</v>
      </c>
      <c r="AB5" s="3" t="n">
        <v>45383</v>
      </c>
      <c r="AD5" s="3" t="n">
        <v>45383</v>
      </c>
      <c r="AF5" s="3" t="n">
        <v>45383</v>
      </c>
      <c r="AH5" s="3" t="n">
        <v>45383</v>
      </c>
      <c r="AJ5" s="3" t="n">
        <v>45383</v>
      </c>
      <c r="AL5" s="3" t="n">
        <v>45383</v>
      </c>
      <c r="AN5" s="3" t="n">
        <v>45383</v>
      </c>
      <c r="AP5" s="3" t="n">
        <v>45383</v>
      </c>
      <c r="AR5" s="3" t="n">
        <v>45383</v>
      </c>
      <c r="AT5" s="3" t="n">
        <v>45383</v>
      </c>
      <c r="AV5" s="3" t="n">
        <v>45383</v>
      </c>
      <c r="AX5" s="3" t="n">
        <v>45383</v>
      </c>
      <c r="AZ5" s="3" t="n">
        <v>45383</v>
      </c>
      <c r="BB5" s="3" t="n">
        <v>45383</v>
      </c>
      <c r="BD5" s="3" t="n">
        <v>45383</v>
      </c>
      <c r="BF5" s="3" t="n">
        <v>45383</v>
      </c>
      <c r="BH5" s="3" t="n">
        <v>45383</v>
      </c>
      <c r="BJ5" s="3" t="n">
        <v>45383</v>
      </c>
      <c r="BL5" s="3" t="n">
        <v>45383</v>
      </c>
      <c r="BN5" s="3" t="n">
        <v>45383</v>
      </c>
      <c r="BP5" s="3" t="n">
        <v>45383</v>
      </c>
      <c r="BR5" s="3" t="n">
        <v>45383</v>
      </c>
      <c r="BS5" s="3" t="n">
        <v>45383</v>
      </c>
      <c r="BT5" s="3" t="n">
        <v>45383</v>
      </c>
      <c r="BU5" s="3" t="n">
        <v>45383</v>
      </c>
      <c r="BV5" s="3" t="n">
        <v>45383</v>
      </c>
      <c r="BW5" s="3" t="n">
        <v>45383</v>
      </c>
      <c r="BX5" s="3" t="n">
        <v>45383</v>
      </c>
      <c r="BY5" s="3" t="n">
        <v>45383</v>
      </c>
      <c r="BZ5" s="3" t="n">
        <v>45383</v>
      </c>
    </row>
    <row r="6" customFormat="false" ht="13.8" hidden="false" customHeight="false" outlineLevel="0" collapsed="false">
      <c r="A6" s="1" t="s">
        <v>22</v>
      </c>
      <c r="B6" s="3" t="n">
        <v>45400</v>
      </c>
      <c r="D6" s="3" t="n">
        <v>45400</v>
      </c>
      <c r="F6" s="3" t="n">
        <v>45400</v>
      </c>
      <c r="H6" s="3" t="n">
        <v>45400</v>
      </c>
      <c r="J6" s="3" t="n">
        <v>45400</v>
      </c>
      <c r="L6" s="3" t="n">
        <v>45400</v>
      </c>
      <c r="N6" s="3" t="n">
        <v>45400</v>
      </c>
      <c r="P6" s="3" t="n">
        <v>45400</v>
      </c>
      <c r="R6" s="3" t="n">
        <v>45400</v>
      </c>
      <c r="T6" s="3" t="n">
        <v>45400</v>
      </c>
      <c r="V6" s="3" t="n">
        <v>45400</v>
      </c>
      <c r="X6" s="3" t="n">
        <v>45400</v>
      </c>
      <c r="Z6" s="3" t="n">
        <v>45400</v>
      </c>
      <c r="AB6" s="3" t="n">
        <v>45400</v>
      </c>
      <c r="AD6" s="3" t="n">
        <v>45400</v>
      </c>
      <c r="AF6" s="3" t="n">
        <v>45400</v>
      </c>
      <c r="AH6" s="3" t="n">
        <v>45400</v>
      </c>
      <c r="AJ6" s="3" t="n">
        <v>45400</v>
      </c>
      <c r="AL6" s="3" t="n">
        <v>45400</v>
      </c>
      <c r="AN6" s="3" t="n">
        <v>45400</v>
      </c>
      <c r="AP6" s="3" t="n">
        <v>45400</v>
      </c>
      <c r="AR6" s="3" t="n">
        <v>45400</v>
      </c>
      <c r="AT6" s="3" t="n">
        <v>45400</v>
      </c>
      <c r="AV6" s="3" t="n">
        <v>45400</v>
      </c>
      <c r="AX6" s="3" t="n">
        <v>45400</v>
      </c>
      <c r="AZ6" s="3" t="n">
        <v>45400</v>
      </c>
      <c r="BB6" s="3" t="n">
        <v>45400</v>
      </c>
      <c r="BD6" s="3" t="n">
        <v>45400</v>
      </c>
      <c r="BF6" s="3" t="n">
        <v>45400</v>
      </c>
      <c r="BH6" s="3" t="n">
        <v>45400</v>
      </c>
      <c r="BJ6" s="3" t="n">
        <v>45400</v>
      </c>
      <c r="BL6" s="3" t="n">
        <v>45400</v>
      </c>
      <c r="BN6" s="3" t="n">
        <v>45400</v>
      </c>
      <c r="BP6" s="3" t="n">
        <v>45400</v>
      </c>
      <c r="BR6" s="3" t="n">
        <v>45400</v>
      </c>
      <c r="BS6" s="3" t="n">
        <v>45400</v>
      </c>
      <c r="BT6" s="3" t="n">
        <v>45400</v>
      </c>
      <c r="BU6" s="3" t="n">
        <v>45400</v>
      </c>
      <c r="BV6" s="3" t="n">
        <v>45400</v>
      </c>
      <c r="BW6" s="3" t="n">
        <v>45400</v>
      </c>
      <c r="BX6" s="3" t="n">
        <v>45400</v>
      </c>
      <c r="BY6" s="3" t="n">
        <v>45400</v>
      </c>
      <c r="BZ6" s="3" t="n">
        <v>45400</v>
      </c>
    </row>
    <row r="7" customFormat="false" ht="13.8" hidden="false" customHeight="false" outlineLevel="0" collapsed="false">
      <c r="A7" s="1" t="s">
        <v>23</v>
      </c>
      <c r="B7" s="3" t="n">
        <v>45383</v>
      </c>
      <c r="D7" s="3" t="n">
        <v>45383</v>
      </c>
      <c r="F7" s="3" t="n">
        <v>45383</v>
      </c>
      <c r="H7" s="3" t="n">
        <v>45390</v>
      </c>
      <c r="J7" s="3" t="n">
        <v>45390</v>
      </c>
      <c r="L7" s="3" t="n">
        <v>45383</v>
      </c>
      <c r="N7" s="3" t="n">
        <v>45383</v>
      </c>
      <c r="P7" s="3" t="n">
        <v>45383</v>
      </c>
      <c r="R7" s="3" t="n">
        <v>45390</v>
      </c>
      <c r="T7" s="3" t="n">
        <v>45390</v>
      </c>
      <c r="V7" s="3" t="n">
        <v>45383</v>
      </c>
      <c r="X7" s="3" t="n">
        <v>45383</v>
      </c>
      <c r="Z7" s="3" t="n">
        <v>45383</v>
      </c>
      <c r="AB7" s="3" t="n">
        <v>45390</v>
      </c>
      <c r="AD7" s="3" t="n">
        <v>45390</v>
      </c>
      <c r="AF7" s="3" t="n">
        <v>45383</v>
      </c>
      <c r="AH7" s="3" t="n">
        <v>45383</v>
      </c>
      <c r="AJ7" s="3" t="n">
        <v>45383</v>
      </c>
      <c r="AL7" s="3" t="n">
        <v>45390</v>
      </c>
      <c r="AN7" s="3" t="n">
        <v>45390</v>
      </c>
      <c r="AP7" s="3" t="n">
        <v>45383</v>
      </c>
      <c r="AR7" s="3" t="n">
        <v>45383</v>
      </c>
      <c r="AT7" s="3" t="n">
        <v>45383</v>
      </c>
      <c r="AV7" s="3" t="n">
        <v>45390</v>
      </c>
      <c r="AX7" s="3" t="n">
        <v>45390</v>
      </c>
      <c r="AZ7" s="3" t="n">
        <v>45383</v>
      </c>
      <c r="BB7" s="3" t="n">
        <v>45383</v>
      </c>
      <c r="BD7" s="3" t="n">
        <v>45383</v>
      </c>
      <c r="BF7" s="3" t="n">
        <v>45390</v>
      </c>
      <c r="BH7" s="3" t="n">
        <v>45390</v>
      </c>
      <c r="BJ7" s="3" t="n">
        <v>45383</v>
      </c>
      <c r="BL7" s="3" t="n">
        <v>45390</v>
      </c>
      <c r="BN7" s="3" t="n">
        <v>45390</v>
      </c>
      <c r="BP7" s="3" t="n">
        <v>45383</v>
      </c>
      <c r="BR7" s="3" t="n">
        <v>45383</v>
      </c>
      <c r="BS7" s="3" t="n">
        <v>45383</v>
      </c>
      <c r="BT7" s="3" t="n">
        <v>45383</v>
      </c>
      <c r="BU7" s="3" t="n">
        <v>45383</v>
      </c>
      <c r="BV7" s="3" t="n">
        <v>45383</v>
      </c>
      <c r="BW7" s="3" t="n">
        <v>45383</v>
      </c>
      <c r="BX7" s="3" t="n">
        <v>45383</v>
      </c>
      <c r="BY7" s="3" t="n">
        <v>45383</v>
      </c>
      <c r="BZ7" s="3" t="n">
        <v>45383</v>
      </c>
    </row>
    <row r="8" customFormat="false" ht="13.8" hidden="false" customHeight="false" outlineLevel="0" collapsed="false">
      <c r="A8" s="1" t="s">
        <v>24</v>
      </c>
      <c r="B8" s="3" t="n">
        <v>45398</v>
      </c>
      <c r="D8" s="3" t="n">
        <v>45398</v>
      </c>
      <c r="F8" s="3" t="n">
        <v>45398</v>
      </c>
      <c r="H8" s="3" t="n">
        <v>45398</v>
      </c>
      <c r="J8" s="3" t="n">
        <v>45398</v>
      </c>
      <c r="L8" s="3" t="n">
        <v>45398</v>
      </c>
      <c r="N8" s="3" t="n">
        <v>45398</v>
      </c>
      <c r="P8" s="3" t="n">
        <v>45398</v>
      </c>
      <c r="R8" s="3" t="n">
        <v>45398</v>
      </c>
      <c r="T8" s="3" t="n">
        <v>45398</v>
      </c>
      <c r="V8" s="3" t="n">
        <v>45398</v>
      </c>
      <c r="X8" s="3" t="n">
        <v>45398</v>
      </c>
      <c r="Z8" s="3" t="n">
        <v>45398</v>
      </c>
      <c r="AB8" s="3" t="n">
        <v>45398</v>
      </c>
      <c r="AD8" s="3" t="n">
        <v>45398</v>
      </c>
      <c r="AF8" s="3" t="n">
        <v>45398</v>
      </c>
      <c r="AH8" s="3" t="n">
        <v>45398</v>
      </c>
      <c r="AJ8" s="3" t="n">
        <v>45398</v>
      </c>
      <c r="AL8" s="3" t="n">
        <v>45398</v>
      </c>
      <c r="AN8" s="3" t="n">
        <v>45398</v>
      </c>
      <c r="AP8" s="3" t="n">
        <v>45398</v>
      </c>
      <c r="AR8" s="3" t="n">
        <v>45398</v>
      </c>
      <c r="AT8" s="3" t="n">
        <v>45398</v>
      </c>
      <c r="AV8" s="3" t="n">
        <v>45398</v>
      </c>
      <c r="AX8" s="3" t="n">
        <v>45398</v>
      </c>
      <c r="AZ8" s="3" t="n">
        <v>45398</v>
      </c>
      <c r="BB8" s="3" t="n">
        <v>45398</v>
      </c>
      <c r="BD8" s="3" t="n">
        <v>45398</v>
      </c>
      <c r="BF8" s="3" t="n">
        <v>45398</v>
      </c>
      <c r="BH8" s="3" t="n">
        <v>45398</v>
      </c>
      <c r="BJ8" s="3" t="n">
        <v>45398</v>
      </c>
      <c r="BL8" s="3" t="n">
        <v>45398</v>
      </c>
      <c r="BN8" s="3" t="n">
        <v>45398</v>
      </c>
      <c r="BP8" s="3" t="n">
        <v>45388</v>
      </c>
      <c r="BR8" s="3" t="n">
        <v>45398</v>
      </c>
      <c r="BS8" s="3" t="n">
        <v>45398</v>
      </c>
      <c r="BT8" s="3" t="n">
        <v>45398</v>
      </c>
      <c r="BU8" s="3" t="n">
        <v>45398</v>
      </c>
      <c r="BV8" s="3" t="n">
        <v>45398</v>
      </c>
      <c r="BW8" s="3" t="n">
        <v>45398</v>
      </c>
      <c r="BX8" s="3" t="n">
        <v>45398</v>
      </c>
      <c r="BY8" s="3" t="n">
        <v>45398</v>
      </c>
      <c r="BZ8" s="3" t="n">
        <v>45398</v>
      </c>
    </row>
    <row r="9" customFormat="false" ht="13.8" hidden="false" customHeight="false" outlineLevel="0" collapsed="false">
      <c r="A9" s="1" t="s">
        <v>25</v>
      </c>
      <c r="B9" s="3" t="n">
        <v>45383</v>
      </c>
      <c r="D9" s="3" t="n">
        <v>45383</v>
      </c>
      <c r="F9" s="3" t="n">
        <v>45383</v>
      </c>
      <c r="H9" s="3" t="n">
        <v>45383</v>
      </c>
      <c r="J9" s="3" t="n">
        <v>45383</v>
      </c>
      <c r="L9" s="3" t="n">
        <v>45383</v>
      </c>
      <c r="N9" s="3" t="n">
        <v>45383</v>
      </c>
      <c r="P9" s="3" t="n">
        <v>45383</v>
      </c>
      <c r="R9" s="3" t="n">
        <v>45383</v>
      </c>
      <c r="T9" s="3" t="n">
        <v>45383</v>
      </c>
      <c r="V9" s="3" t="n">
        <v>45383</v>
      </c>
      <c r="X9" s="3" t="n">
        <v>45383</v>
      </c>
      <c r="Z9" s="3" t="n">
        <v>45383</v>
      </c>
      <c r="AB9" s="3" t="n">
        <v>45383</v>
      </c>
      <c r="AD9" s="3" t="n">
        <v>45383</v>
      </c>
      <c r="AF9" s="3" t="n">
        <v>45383</v>
      </c>
      <c r="AH9" s="3" t="n">
        <v>45383</v>
      </c>
      <c r="AJ9" s="3" t="n">
        <v>45383</v>
      </c>
      <c r="AL9" s="3" t="n">
        <v>45383</v>
      </c>
      <c r="AN9" s="3" t="n">
        <v>45383</v>
      </c>
      <c r="AP9" s="3" t="n">
        <v>45383</v>
      </c>
      <c r="AR9" s="3" t="n">
        <v>45383</v>
      </c>
      <c r="AT9" s="3" t="n">
        <v>45383</v>
      </c>
      <c r="AV9" s="3" t="n">
        <v>45383</v>
      </c>
      <c r="AX9" s="3" t="n">
        <v>45383</v>
      </c>
      <c r="AZ9" s="3" t="n">
        <v>45383</v>
      </c>
      <c r="BB9" s="3" t="n">
        <v>45383</v>
      </c>
      <c r="BD9" s="3" t="n">
        <v>45383</v>
      </c>
      <c r="BF9" s="3" t="n">
        <v>45383</v>
      </c>
      <c r="BH9" s="3" t="n">
        <v>45383</v>
      </c>
      <c r="BJ9" s="3" t="n">
        <v>45383</v>
      </c>
      <c r="BL9" s="3" t="n">
        <v>45383</v>
      </c>
      <c r="BN9" s="3" t="n">
        <v>45383</v>
      </c>
      <c r="BP9" s="3" t="n">
        <v>45383</v>
      </c>
    </row>
    <row r="10" customFormat="false" ht="13.8" hidden="false" customHeight="false" outlineLevel="0" collapsed="false">
      <c r="A10" s="1" t="s">
        <v>26</v>
      </c>
      <c r="B10" s="3" t="n">
        <v>45400</v>
      </c>
      <c r="D10" s="3" t="n">
        <v>45400</v>
      </c>
      <c r="F10" s="3" t="n">
        <v>45400</v>
      </c>
      <c r="H10" s="3" t="n">
        <v>45400</v>
      </c>
      <c r="J10" s="3" t="n">
        <v>45400</v>
      </c>
      <c r="L10" s="3" t="n">
        <v>45400</v>
      </c>
      <c r="N10" s="3" t="n">
        <v>45400</v>
      </c>
      <c r="P10" s="3" t="n">
        <v>45400</v>
      </c>
      <c r="R10" s="3" t="n">
        <v>45400</v>
      </c>
      <c r="T10" s="3" t="n">
        <v>45400</v>
      </c>
      <c r="V10" s="3" t="n">
        <v>45400</v>
      </c>
      <c r="X10" s="3" t="n">
        <v>45400</v>
      </c>
      <c r="Z10" s="3" t="n">
        <v>45400</v>
      </c>
      <c r="AB10" s="3" t="n">
        <v>45400</v>
      </c>
      <c r="AD10" s="3" t="n">
        <v>45400</v>
      </c>
      <c r="AF10" s="3" t="n">
        <v>45400</v>
      </c>
      <c r="AH10" s="3" t="n">
        <v>45400</v>
      </c>
      <c r="AJ10" s="3" t="n">
        <v>45400</v>
      </c>
      <c r="AL10" s="3" t="n">
        <v>45400</v>
      </c>
      <c r="AN10" s="3" t="n">
        <v>45400</v>
      </c>
      <c r="AP10" s="3" t="n">
        <v>45400</v>
      </c>
      <c r="AR10" s="3" t="n">
        <v>45400</v>
      </c>
      <c r="AT10" s="3" t="n">
        <v>45400</v>
      </c>
      <c r="AV10" s="3" t="n">
        <v>45400</v>
      </c>
      <c r="AX10" s="3" t="n">
        <v>45400</v>
      </c>
      <c r="AZ10" s="3" t="n">
        <v>45400</v>
      </c>
      <c r="BB10" s="3" t="n">
        <v>45400</v>
      </c>
      <c r="BD10" s="3" t="n">
        <v>45400</v>
      </c>
      <c r="BF10" s="3" t="n">
        <v>45400</v>
      </c>
      <c r="BH10" s="3" t="n">
        <v>45400</v>
      </c>
      <c r="BJ10" s="3" t="n">
        <v>45400</v>
      </c>
      <c r="BL10" s="3" t="n">
        <v>45400</v>
      </c>
      <c r="BN10" s="3" t="n">
        <v>45400</v>
      </c>
      <c r="BP10" s="3" t="n">
        <v>45400</v>
      </c>
    </row>
    <row r="11" customFormat="false" ht="13.8" hidden="false" customHeight="false" outlineLevel="0" collapsed="false">
      <c r="A11" s="1" t="s">
        <v>27</v>
      </c>
      <c r="B11" s="2" t="s">
        <v>28</v>
      </c>
      <c r="D11" s="2" t="s">
        <v>28</v>
      </c>
      <c r="F11" s="2" t="s">
        <v>28</v>
      </c>
      <c r="H11" s="2" t="s">
        <v>28</v>
      </c>
      <c r="J11" s="2" t="s">
        <v>28</v>
      </c>
      <c r="L11" s="2" t="s">
        <v>28</v>
      </c>
      <c r="N11" s="2" t="s">
        <v>28</v>
      </c>
      <c r="P11" s="2" t="s">
        <v>28</v>
      </c>
      <c r="R11" s="2" t="s">
        <v>28</v>
      </c>
      <c r="T11" s="2" t="s">
        <v>28</v>
      </c>
      <c r="V11" s="2" t="s">
        <v>28</v>
      </c>
      <c r="X11" s="2" t="s">
        <v>28</v>
      </c>
      <c r="Z11" s="2" t="s">
        <v>28</v>
      </c>
      <c r="AB11" s="2" t="s">
        <v>28</v>
      </c>
      <c r="AD11" s="2" t="s">
        <v>28</v>
      </c>
      <c r="AF11" s="2" t="s">
        <v>28</v>
      </c>
      <c r="AH11" s="2" t="s">
        <v>28</v>
      </c>
      <c r="AJ11" s="2" t="s">
        <v>28</v>
      </c>
      <c r="AL11" s="2" t="s">
        <v>28</v>
      </c>
      <c r="AN11" s="2" t="s">
        <v>28</v>
      </c>
      <c r="AP11" s="2" t="s">
        <v>28</v>
      </c>
      <c r="AR11" s="2" t="s">
        <v>28</v>
      </c>
      <c r="AT11" s="2" t="s">
        <v>28</v>
      </c>
      <c r="AV11" s="2" t="s">
        <v>28</v>
      </c>
      <c r="AX11" s="2" t="s">
        <v>28</v>
      </c>
      <c r="AZ11" s="2" t="s">
        <v>28</v>
      </c>
      <c r="BB11" s="2" t="s">
        <v>28</v>
      </c>
      <c r="BD11" s="2" t="s">
        <v>28</v>
      </c>
      <c r="BF11" s="2" t="s">
        <v>28</v>
      </c>
      <c r="BH11" s="2" t="s">
        <v>28</v>
      </c>
      <c r="BJ11" s="2" t="s">
        <v>28</v>
      </c>
      <c r="BL11" s="2" t="s">
        <v>28</v>
      </c>
      <c r="BN11" s="2" t="s">
        <v>28</v>
      </c>
      <c r="BP11" s="2" t="s">
        <v>28</v>
      </c>
    </row>
    <row r="12" customFormat="false" ht="13.8" hidden="false" customHeight="false" outlineLevel="0" collapsed="false">
      <c r="A12" s="1" t="s">
        <v>29</v>
      </c>
      <c r="B12" s="2" t="s">
        <v>30</v>
      </c>
      <c r="D12" s="2" t="s">
        <v>30</v>
      </c>
      <c r="F12" s="2" t="s">
        <v>30</v>
      </c>
      <c r="H12" s="2" t="s">
        <v>30</v>
      </c>
      <c r="J12" s="2" t="s">
        <v>30</v>
      </c>
      <c r="L12" s="2" t="s">
        <v>30</v>
      </c>
      <c r="N12" s="2" t="s">
        <v>30</v>
      </c>
      <c r="P12" s="2" t="s">
        <v>30</v>
      </c>
      <c r="R12" s="2" t="s">
        <v>30</v>
      </c>
      <c r="T12" s="2" t="s">
        <v>30</v>
      </c>
      <c r="V12" s="2" t="s">
        <v>30</v>
      </c>
      <c r="X12" s="2" t="s">
        <v>30</v>
      </c>
      <c r="Z12" s="2" t="s">
        <v>30</v>
      </c>
      <c r="AB12" s="2" t="s">
        <v>30</v>
      </c>
      <c r="AD12" s="2" t="s">
        <v>30</v>
      </c>
      <c r="AF12" s="2" t="s">
        <v>30</v>
      </c>
      <c r="AH12" s="2" t="s">
        <v>30</v>
      </c>
      <c r="AJ12" s="2" t="s">
        <v>30</v>
      </c>
      <c r="AL12" s="2" t="s">
        <v>30</v>
      </c>
      <c r="AN12" s="2" t="s">
        <v>30</v>
      </c>
      <c r="AP12" s="2" t="s">
        <v>30</v>
      </c>
      <c r="AR12" s="2" t="s">
        <v>30</v>
      </c>
      <c r="AT12" s="2" t="s">
        <v>30</v>
      </c>
      <c r="AV12" s="2" t="s">
        <v>30</v>
      </c>
      <c r="AX12" s="2" t="s">
        <v>30</v>
      </c>
      <c r="AZ12" s="2" t="s">
        <v>30</v>
      </c>
      <c r="BB12" s="2" t="s">
        <v>30</v>
      </c>
      <c r="BD12" s="2" t="s">
        <v>30</v>
      </c>
      <c r="BF12" s="2" t="s">
        <v>30</v>
      </c>
      <c r="BH12" s="2" t="s">
        <v>30</v>
      </c>
      <c r="BJ12" s="2" t="s">
        <v>30</v>
      </c>
      <c r="BL12" s="2" t="s">
        <v>30</v>
      </c>
      <c r="BN12" s="2" t="s">
        <v>30</v>
      </c>
      <c r="BP12" s="2" t="s">
        <v>30</v>
      </c>
    </row>
    <row r="13" customFormat="false" ht="13.8" hidden="false" customHeight="false" outlineLevel="0" collapsed="false">
      <c r="A13" s="1" t="s">
        <v>31</v>
      </c>
    </row>
    <row r="14" customFormat="false" ht="13.8" hidden="false" customHeight="false" outlineLevel="0" collapsed="false">
      <c r="A14" s="1" t="s">
        <v>32</v>
      </c>
      <c r="B14" s="2" t="s">
        <v>33</v>
      </c>
      <c r="D14" s="2" t="s">
        <v>34</v>
      </c>
      <c r="F14" s="2" t="s">
        <v>35</v>
      </c>
      <c r="H14" s="2" t="s">
        <v>36</v>
      </c>
      <c r="J14" s="2" t="s">
        <v>37</v>
      </c>
      <c r="L14" s="2" t="s">
        <v>33</v>
      </c>
      <c r="N14" s="2" t="s">
        <v>34</v>
      </c>
      <c r="P14" s="2" t="s">
        <v>35</v>
      </c>
      <c r="R14" s="2" t="s">
        <v>36</v>
      </c>
      <c r="T14" s="2" t="s">
        <v>37</v>
      </c>
      <c r="V14" s="2" t="s">
        <v>33</v>
      </c>
      <c r="X14" s="2" t="s">
        <v>34</v>
      </c>
      <c r="Z14" s="2" t="s">
        <v>35</v>
      </c>
      <c r="AB14" s="2" t="s">
        <v>36</v>
      </c>
      <c r="AD14" s="2" t="s">
        <v>37</v>
      </c>
      <c r="AF14" s="2" t="s">
        <v>33</v>
      </c>
      <c r="AH14" s="2" t="s">
        <v>34</v>
      </c>
      <c r="AJ14" s="2" t="s">
        <v>35</v>
      </c>
      <c r="AL14" s="2" t="s">
        <v>36</v>
      </c>
      <c r="AN14" s="2" t="s">
        <v>37</v>
      </c>
      <c r="AP14" s="2" t="s">
        <v>33</v>
      </c>
      <c r="AR14" s="2" t="s">
        <v>34</v>
      </c>
      <c r="AT14" s="2" t="s">
        <v>35</v>
      </c>
      <c r="AV14" s="2" t="s">
        <v>36</v>
      </c>
      <c r="AX14" s="2" t="s">
        <v>37</v>
      </c>
      <c r="AZ14" s="2" t="s">
        <v>33</v>
      </c>
      <c r="BB14" s="2" t="s">
        <v>34</v>
      </c>
      <c r="BD14" s="2" t="s">
        <v>35</v>
      </c>
      <c r="BF14" s="2" t="s">
        <v>36</v>
      </c>
      <c r="BH14" s="2" t="s">
        <v>37</v>
      </c>
      <c r="BJ14" s="2" t="s">
        <v>38</v>
      </c>
      <c r="BL14" s="2" t="s">
        <v>39</v>
      </c>
      <c r="BN14" s="2" t="s">
        <v>40</v>
      </c>
      <c r="BP14" s="2" t="s">
        <v>41</v>
      </c>
      <c r="BR14" s="2" t="s">
        <v>33</v>
      </c>
      <c r="BS14" s="2" t="s">
        <v>34</v>
      </c>
      <c r="BT14" s="2" t="s">
        <v>35</v>
      </c>
      <c r="BU14" s="2" t="s">
        <v>36</v>
      </c>
      <c r="BV14" s="2" t="s">
        <v>37</v>
      </c>
      <c r="BW14" s="2" t="s">
        <v>38</v>
      </c>
      <c r="BX14" s="2" t="s">
        <v>39</v>
      </c>
      <c r="BY14" s="2" t="s">
        <v>40</v>
      </c>
      <c r="BZ14" s="2" t="s">
        <v>41</v>
      </c>
    </row>
    <row r="15" customFormat="false" ht="13.8" hidden="false" customHeight="false" outlineLevel="0" collapsed="false">
      <c r="A15" s="1" t="s">
        <v>42</v>
      </c>
      <c r="B15" s="0" t="s">
        <v>43</v>
      </c>
      <c r="D15" s="0" t="s">
        <v>43</v>
      </c>
      <c r="F15" s="0" t="s">
        <v>43</v>
      </c>
      <c r="H15" s="0" t="s">
        <v>43</v>
      </c>
      <c r="J15" s="0" t="s">
        <v>43</v>
      </c>
      <c r="L15" s="0" t="s">
        <v>43</v>
      </c>
      <c r="N15" s="0" t="s">
        <v>43</v>
      </c>
      <c r="P15" s="0" t="s">
        <v>43</v>
      </c>
      <c r="R15" s="0" t="s">
        <v>43</v>
      </c>
      <c r="T15" s="0" t="s">
        <v>43</v>
      </c>
      <c r="V15" s="0" t="s">
        <v>43</v>
      </c>
      <c r="X15" s="0" t="s">
        <v>43</v>
      </c>
      <c r="Z15" s="0" t="s">
        <v>43</v>
      </c>
      <c r="AB15" s="0" t="s">
        <v>43</v>
      </c>
      <c r="AD15" s="0" t="s">
        <v>43</v>
      </c>
      <c r="AF15" s="0" t="s">
        <v>43</v>
      </c>
      <c r="AH15" s="0" t="s">
        <v>43</v>
      </c>
      <c r="AJ15" s="0" t="s">
        <v>43</v>
      </c>
      <c r="AL15" s="0" t="s">
        <v>43</v>
      </c>
      <c r="AN15" s="0" t="s">
        <v>43</v>
      </c>
      <c r="AP15" s="0" t="s">
        <v>43</v>
      </c>
      <c r="AR15" s="0" t="s">
        <v>43</v>
      </c>
      <c r="AT15" s="0" t="s">
        <v>43</v>
      </c>
      <c r="AV15" s="0" t="s">
        <v>43</v>
      </c>
      <c r="AX15" s="0" t="s">
        <v>43</v>
      </c>
      <c r="AZ15" s="0" t="s">
        <v>43</v>
      </c>
      <c r="BB15" s="0" t="s">
        <v>43</v>
      </c>
      <c r="BD15" s="0" t="s">
        <v>43</v>
      </c>
      <c r="BF15" s="0" t="s">
        <v>43</v>
      </c>
      <c r="BH15" s="0" t="s">
        <v>43</v>
      </c>
      <c r="BJ15" s="0" t="s">
        <v>43</v>
      </c>
      <c r="BL15" s="0" t="s">
        <v>43</v>
      </c>
      <c r="BN15" s="0" t="s">
        <v>43</v>
      </c>
      <c r="BP15" s="0" t="s">
        <v>43</v>
      </c>
    </row>
    <row r="16" customFormat="false" ht="14.35" hidden="false" customHeight="false" outlineLevel="0" collapsed="false">
      <c r="A16" s="4" t="s">
        <v>44</v>
      </c>
      <c r="B16" s="5" t="n">
        <v>3409.556</v>
      </c>
      <c r="C16" s="2" t="s">
        <v>45</v>
      </c>
      <c r="D16" s="5" t="n">
        <v>3105.315377</v>
      </c>
      <c r="E16" s="2" t="s">
        <v>45</v>
      </c>
      <c r="F16" s="5" t="n">
        <v>1564.647113</v>
      </c>
      <c r="G16" s="2" t="s">
        <v>45</v>
      </c>
      <c r="H16" s="5" t="n">
        <v>873.441261</v>
      </c>
      <c r="I16" s="2" t="s">
        <v>45</v>
      </c>
      <c r="J16" s="5" t="n">
        <v>1908.533</v>
      </c>
      <c r="K16" s="2" t="s">
        <v>45</v>
      </c>
      <c r="L16" s="5" t="n">
        <v>3278.325</v>
      </c>
      <c r="M16" s="2" t="s">
        <v>45</v>
      </c>
      <c r="N16" s="5" t="n">
        <v>4115.840149</v>
      </c>
      <c r="O16" s="2" t="s">
        <v>45</v>
      </c>
      <c r="P16" s="5" t="n">
        <v>2134.702519</v>
      </c>
      <c r="Q16" s="2" t="s">
        <v>45</v>
      </c>
      <c r="R16" s="5" t="n">
        <v>1180.882252</v>
      </c>
      <c r="S16" s="2" t="s">
        <v>45</v>
      </c>
      <c r="T16" s="5" t="n">
        <v>1824.874</v>
      </c>
      <c r="U16" s="2" t="s">
        <v>45</v>
      </c>
      <c r="V16" s="5" t="n">
        <v>2596.741</v>
      </c>
      <c r="W16" s="2" t="s">
        <v>45</v>
      </c>
      <c r="X16" s="5" t="n">
        <v>2715.321759</v>
      </c>
      <c r="Y16" s="2" t="s">
        <v>45</v>
      </c>
      <c r="Z16" s="5" t="n">
        <v>1525.80286</v>
      </c>
      <c r="AA16" s="2" t="s">
        <v>45</v>
      </c>
      <c r="AB16" s="5" t="n">
        <v>935.921582</v>
      </c>
      <c r="AC16" s="2" t="s">
        <v>45</v>
      </c>
      <c r="AD16" s="5" t="n">
        <v>1619.477</v>
      </c>
      <c r="AE16" s="2" t="s">
        <v>45</v>
      </c>
      <c r="AF16" s="5" t="n">
        <v>1258.141</v>
      </c>
      <c r="AG16" s="2" t="s">
        <v>45</v>
      </c>
      <c r="AH16" s="5" t="n">
        <v>1416.301137</v>
      </c>
      <c r="AI16" s="2" t="s">
        <v>45</v>
      </c>
      <c r="AJ16" s="5" t="n">
        <v>763.172861</v>
      </c>
      <c r="AK16" s="2" t="s">
        <v>45</v>
      </c>
      <c r="AL16" s="5" t="n">
        <v>445.913786</v>
      </c>
      <c r="AM16" s="2" t="s">
        <v>45</v>
      </c>
      <c r="AN16" s="5" t="n">
        <v>746.697</v>
      </c>
      <c r="AO16" s="2" t="s">
        <v>45</v>
      </c>
      <c r="AP16" s="5" t="n">
        <v>10905.735</v>
      </c>
      <c r="AQ16" s="2" t="s">
        <v>45</v>
      </c>
      <c r="AR16" s="5" t="n">
        <v>12223.879058</v>
      </c>
      <c r="AS16" s="2" t="s">
        <v>45</v>
      </c>
      <c r="AT16" s="5" t="n">
        <v>5949.085227</v>
      </c>
      <c r="AU16" s="2" t="s">
        <v>45</v>
      </c>
      <c r="AV16" s="5" t="n">
        <v>3092.31082</v>
      </c>
      <c r="AW16" s="2" t="s">
        <v>45</v>
      </c>
      <c r="AX16" s="5" t="n">
        <v>5754.81</v>
      </c>
      <c r="AY16" s="2" t="s">
        <v>45</v>
      </c>
      <c r="AZ16" s="5" t="n">
        <v>5948.34</v>
      </c>
      <c r="BA16" s="2" t="s">
        <v>45</v>
      </c>
      <c r="BB16" s="5" t="n">
        <v>8214.252505</v>
      </c>
      <c r="BC16" s="2" t="s">
        <v>45</v>
      </c>
      <c r="BD16" s="5" t="n">
        <v>4020.56041</v>
      </c>
      <c r="BE16" s="2" t="s">
        <v>45</v>
      </c>
      <c r="BF16" s="5" t="n">
        <v>2128.478795</v>
      </c>
      <c r="BG16" s="2" t="s">
        <v>45</v>
      </c>
      <c r="BH16" s="5" t="n">
        <v>3197.01</v>
      </c>
      <c r="BI16" s="2" t="s">
        <v>45</v>
      </c>
      <c r="BJ16" s="5" t="n">
        <v>26882.73</v>
      </c>
      <c r="BK16" s="2" t="s">
        <v>45</v>
      </c>
      <c r="BL16" s="5" t="n">
        <v>17113.11</v>
      </c>
      <c r="BM16" s="2" t="s">
        <v>45</v>
      </c>
      <c r="BN16" s="5" t="n">
        <v>8456.161542</v>
      </c>
      <c r="BO16" s="2" t="s">
        <v>45</v>
      </c>
      <c r="BP16" s="5" t="n">
        <v>4621.777029</v>
      </c>
      <c r="BQ16" s="2" t="s">
        <v>45</v>
      </c>
      <c r="BR16" s="5" t="n">
        <v>27396.838</v>
      </c>
      <c r="BS16" s="5" t="n">
        <v>31790.909985</v>
      </c>
      <c r="BT16" s="5" t="n">
        <v>15957.97099</v>
      </c>
      <c r="BU16" s="5" t="n">
        <v>8656.948496</v>
      </c>
      <c r="BV16" s="5" t="n">
        <v>15051.401</v>
      </c>
      <c r="BW16" s="5" t="n">
        <v>26882.73</v>
      </c>
      <c r="BX16" s="5" t="n">
        <v>17113.11</v>
      </c>
      <c r="BY16" s="5" t="n">
        <v>8456.161542</v>
      </c>
      <c r="BZ16" s="5" t="n">
        <v>4621.777029</v>
      </c>
    </row>
    <row r="17" customFormat="false" ht="13.8" hidden="false" customHeight="false" outlineLevel="0" collapsed="false">
      <c r="A17" s="3" t="n">
        <v>45383.2708333333</v>
      </c>
      <c r="B17" s="5" t="n">
        <v>1.704</v>
      </c>
      <c r="C17" s="2" t="s">
        <v>46</v>
      </c>
      <c r="D17" s="5" t="n">
        <v>0.020107</v>
      </c>
      <c r="E17" s="2" t="s">
        <v>46</v>
      </c>
      <c r="F17" s="5" t="n">
        <v>0.020107</v>
      </c>
      <c r="G17" s="2" t="s">
        <v>46</v>
      </c>
      <c r="L17" s="5" t="n">
        <v>1.101</v>
      </c>
      <c r="M17" s="2" t="s">
        <v>46</v>
      </c>
      <c r="N17" s="5" t="n">
        <v>0.012992</v>
      </c>
      <c r="O17" s="2" t="s">
        <v>46</v>
      </c>
      <c r="P17" s="5" t="n">
        <v>0.012992</v>
      </c>
      <c r="Q17" s="2" t="s">
        <v>46</v>
      </c>
      <c r="V17" s="5" t="n">
        <v>0.941</v>
      </c>
      <c r="W17" s="2" t="s">
        <v>46</v>
      </c>
      <c r="X17" s="5" t="n">
        <v>0.011104</v>
      </c>
      <c r="Y17" s="2" t="s">
        <v>46</v>
      </c>
      <c r="Z17" s="5" t="n">
        <v>0.011104</v>
      </c>
      <c r="AA17" s="2" t="s">
        <v>46</v>
      </c>
      <c r="AF17" s="5" t="n">
        <v>0.056</v>
      </c>
      <c r="AG17" s="2" t="s">
        <v>46</v>
      </c>
      <c r="AH17" s="5" t="n">
        <v>0.000661</v>
      </c>
      <c r="AI17" s="2" t="s">
        <v>46</v>
      </c>
      <c r="AJ17" s="5" t="n">
        <v>0.000661</v>
      </c>
      <c r="AK17" s="2" t="s">
        <v>46</v>
      </c>
      <c r="AP17" s="5" t="n">
        <v>3.5475</v>
      </c>
      <c r="AQ17" s="2" t="s">
        <v>46</v>
      </c>
      <c r="AR17" s="5" t="n">
        <v>0.04186</v>
      </c>
      <c r="AS17" s="2" t="s">
        <v>46</v>
      </c>
      <c r="AT17" s="5" t="n">
        <v>0.04186</v>
      </c>
      <c r="AU17" s="2" t="s">
        <v>46</v>
      </c>
      <c r="AZ17" s="5" t="n">
        <v>2.82</v>
      </c>
      <c r="BA17" s="2" t="s">
        <v>46</v>
      </c>
      <c r="BB17" s="5" t="n">
        <v>0.033276</v>
      </c>
      <c r="BC17" s="2" t="s">
        <v>46</v>
      </c>
      <c r="BD17" s="5" t="n">
        <v>0.033276</v>
      </c>
      <c r="BE17" s="2" t="s">
        <v>46</v>
      </c>
      <c r="BJ17" s="5" t="n">
        <v>0.12</v>
      </c>
      <c r="BK17" s="2" t="s">
        <v>46</v>
      </c>
      <c r="BP17" s="5" t="n">
        <v>0</v>
      </c>
      <c r="BQ17" s="2" t="s">
        <v>46</v>
      </c>
      <c r="BR17" s="5" t="n">
        <v>10.1695</v>
      </c>
      <c r="BS17" s="5" t="n">
        <v>0.12</v>
      </c>
      <c r="BT17" s="5" t="n">
        <v>0.12</v>
      </c>
      <c r="BU17" s="5" t="n">
        <v>0</v>
      </c>
      <c r="BV17" s="5" t="n">
        <v>0</v>
      </c>
      <c r="BW17" s="5" t="n">
        <v>0.12</v>
      </c>
      <c r="BX17" s="5" t="n">
        <v>0</v>
      </c>
      <c r="BY17" s="5" t="n">
        <v>0</v>
      </c>
      <c r="BZ17" s="5" t="n">
        <v>0</v>
      </c>
    </row>
    <row r="18" customFormat="false" ht="13.8" hidden="false" customHeight="false" outlineLevel="0" collapsed="false">
      <c r="A18" s="3" t="n">
        <v>45383.28125</v>
      </c>
      <c r="B18" s="5" t="n">
        <v>1.574</v>
      </c>
      <c r="C18" s="2" t="s">
        <v>46</v>
      </c>
      <c r="D18" s="5" t="n">
        <v>0.150035</v>
      </c>
      <c r="E18" s="2" t="s">
        <v>46</v>
      </c>
      <c r="F18" s="5" t="n">
        <v>0.150035</v>
      </c>
      <c r="G18" s="2" t="s">
        <v>46</v>
      </c>
      <c r="L18" s="5" t="n">
        <v>1.14</v>
      </c>
      <c r="M18" s="2" t="s">
        <v>46</v>
      </c>
      <c r="N18" s="5" t="n">
        <v>0.108666</v>
      </c>
      <c r="O18" s="2" t="s">
        <v>46</v>
      </c>
      <c r="P18" s="5" t="n">
        <v>0.108666</v>
      </c>
      <c r="Q18" s="2" t="s">
        <v>46</v>
      </c>
      <c r="V18" s="5" t="n">
        <v>0.332</v>
      </c>
      <c r="W18" s="2" t="s">
        <v>46</v>
      </c>
      <c r="X18" s="5" t="n">
        <v>0.031647</v>
      </c>
      <c r="Y18" s="2" t="s">
        <v>46</v>
      </c>
      <c r="Z18" s="5" t="n">
        <v>0.031647</v>
      </c>
      <c r="AA18" s="2" t="s">
        <v>46</v>
      </c>
      <c r="AF18" s="5" t="n">
        <v>0.073</v>
      </c>
      <c r="AG18" s="2" t="s">
        <v>46</v>
      </c>
      <c r="AH18" s="5" t="n">
        <v>0.006958</v>
      </c>
      <c r="AI18" s="2" t="s">
        <v>46</v>
      </c>
      <c r="AJ18" s="5" t="n">
        <v>0.006958</v>
      </c>
      <c r="AK18" s="2" t="s">
        <v>46</v>
      </c>
      <c r="AP18" s="5" t="n">
        <v>3.9075</v>
      </c>
      <c r="AQ18" s="2" t="s">
        <v>46</v>
      </c>
      <c r="AR18" s="5" t="n">
        <v>0.372467</v>
      </c>
      <c r="AS18" s="2" t="s">
        <v>46</v>
      </c>
      <c r="AT18" s="5" t="n">
        <v>0.372467</v>
      </c>
      <c r="AU18" s="2" t="s">
        <v>46</v>
      </c>
      <c r="AZ18" s="5" t="n">
        <v>2.73</v>
      </c>
      <c r="BA18" s="2" t="s">
        <v>46</v>
      </c>
      <c r="BB18" s="5" t="n">
        <v>0.260227</v>
      </c>
      <c r="BC18" s="2" t="s">
        <v>46</v>
      </c>
      <c r="BD18" s="5" t="n">
        <v>0.260227</v>
      </c>
      <c r="BE18" s="2" t="s">
        <v>46</v>
      </c>
      <c r="BJ18" s="5" t="n">
        <v>0.93</v>
      </c>
      <c r="BK18" s="2" t="s">
        <v>46</v>
      </c>
      <c r="BP18" s="5" t="n">
        <v>0</v>
      </c>
      <c r="BQ18" s="2" t="s">
        <v>46</v>
      </c>
      <c r="BR18" s="5" t="n">
        <v>9.7565</v>
      </c>
      <c r="BS18" s="5" t="n">
        <v>0.93</v>
      </c>
      <c r="BT18" s="5" t="n">
        <v>0.93</v>
      </c>
      <c r="BU18" s="5" t="n">
        <v>0</v>
      </c>
      <c r="BV18" s="5" t="n">
        <v>0</v>
      </c>
      <c r="BW18" s="5" t="n">
        <v>0.93</v>
      </c>
      <c r="BX18" s="5" t="n">
        <v>0</v>
      </c>
      <c r="BY18" s="5" t="n">
        <v>0</v>
      </c>
      <c r="BZ18" s="5" t="n">
        <v>0</v>
      </c>
    </row>
    <row r="19" customFormat="false" ht="13.8" hidden="false" customHeight="false" outlineLevel="0" collapsed="false">
      <c r="A19" s="3" t="n">
        <v>45383.2916666667</v>
      </c>
      <c r="B19" s="5" t="n">
        <v>1.395</v>
      </c>
      <c r="C19" s="2" t="s">
        <v>46</v>
      </c>
      <c r="D19" s="5" t="n">
        <v>0.36197</v>
      </c>
      <c r="E19" s="2" t="s">
        <v>46</v>
      </c>
      <c r="F19" s="5" t="n">
        <v>0.36197</v>
      </c>
      <c r="G19" s="2" t="s">
        <v>46</v>
      </c>
      <c r="L19" s="5" t="n">
        <v>1.081</v>
      </c>
      <c r="M19" s="2" t="s">
        <v>46</v>
      </c>
      <c r="N19" s="5" t="n">
        <v>0.280494</v>
      </c>
      <c r="O19" s="2" t="s">
        <v>46</v>
      </c>
      <c r="P19" s="5" t="n">
        <v>0.280494</v>
      </c>
      <c r="Q19" s="2" t="s">
        <v>46</v>
      </c>
      <c r="V19" s="5" t="n">
        <v>0.857</v>
      </c>
      <c r="W19" s="2" t="s">
        <v>46</v>
      </c>
      <c r="X19" s="5" t="n">
        <v>0.222371</v>
      </c>
      <c r="Y19" s="2" t="s">
        <v>46</v>
      </c>
      <c r="Z19" s="5" t="n">
        <v>0.222371</v>
      </c>
      <c r="AA19" s="2" t="s">
        <v>46</v>
      </c>
      <c r="AF19" s="5" t="n">
        <v>0.07</v>
      </c>
      <c r="AG19" s="2" t="s">
        <v>46</v>
      </c>
      <c r="AH19" s="5" t="n">
        <v>0.018163</v>
      </c>
      <c r="AI19" s="2" t="s">
        <v>46</v>
      </c>
      <c r="AJ19" s="5" t="n">
        <v>0.018163</v>
      </c>
      <c r="AK19" s="2" t="s">
        <v>46</v>
      </c>
      <c r="AP19" s="5" t="n">
        <v>4.7475</v>
      </c>
      <c r="AQ19" s="2" t="s">
        <v>46</v>
      </c>
      <c r="AR19" s="5" t="n">
        <v>1.231865</v>
      </c>
      <c r="AS19" s="2" t="s">
        <v>46</v>
      </c>
      <c r="AT19" s="5" t="n">
        <v>1.231865</v>
      </c>
      <c r="AU19" s="2" t="s">
        <v>46</v>
      </c>
      <c r="AZ19" s="5" t="n">
        <v>3.18</v>
      </c>
      <c r="BA19" s="2" t="s">
        <v>46</v>
      </c>
      <c r="BB19" s="5" t="n">
        <v>0.825136</v>
      </c>
      <c r="BC19" s="2" t="s">
        <v>46</v>
      </c>
      <c r="BD19" s="5" t="n">
        <v>0.825136</v>
      </c>
      <c r="BE19" s="2" t="s">
        <v>46</v>
      </c>
      <c r="BJ19" s="5" t="n">
        <v>2.94</v>
      </c>
      <c r="BK19" s="2" t="s">
        <v>46</v>
      </c>
      <c r="BP19" s="5" t="n">
        <v>0.1</v>
      </c>
      <c r="BQ19" s="2" t="s">
        <v>46</v>
      </c>
      <c r="BR19" s="5" t="n">
        <v>11.3305</v>
      </c>
      <c r="BS19" s="5" t="n">
        <v>2.939999</v>
      </c>
      <c r="BT19" s="5" t="n">
        <v>2.939999</v>
      </c>
      <c r="BU19" s="5" t="n">
        <v>0</v>
      </c>
      <c r="BV19" s="5" t="n">
        <v>0</v>
      </c>
      <c r="BW19" s="5" t="n">
        <v>2.94</v>
      </c>
      <c r="BX19" s="5" t="n">
        <v>0</v>
      </c>
      <c r="BY19" s="5" t="n">
        <v>0</v>
      </c>
      <c r="BZ19" s="5" t="n">
        <v>1E-006</v>
      </c>
    </row>
    <row r="20" customFormat="false" ht="13.8" hidden="false" customHeight="false" outlineLevel="0" collapsed="false">
      <c r="A20" s="3" t="n">
        <v>45383.3020833333</v>
      </c>
      <c r="B20" s="5" t="n">
        <v>1.814</v>
      </c>
      <c r="C20" s="2" t="s">
        <v>46</v>
      </c>
      <c r="D20" s="5" t="n">
        <v>0.619655</v>
      </c>
      <c r="E20" s="2" t="s">
        <v>46</v>
      </c>
      <c r="F20" s="5" t="n">
        <v>0.619655</v>
      </c>
      <c r="G20" s="2" t="s">
        <v>46</v>
      </c>
      <c r="L20" s="5" t="n">
        <v>1.146</v>
      </c>
      <c r="M20" s="2" t="s">
        <v>46</v>
      </c>
      <c r="N20" s="5" t="n">
        <v>0.391469</v>
      </c>
      <c r="O20" s="2" t="s">
        <v>46</v>
      </c>
      <c r="P20" s="5" t="n">
        <v>0.391469</v>
      </c>
      <c r="Q20" s="2" t="s">
        <v>46</v>
      </c>
      <c r="V20" s="5" t="n">
        <v>0.617</v>
      </c>
      <c r="W20" s="2" t="s">
        <v>46</v>
      </c>
      <c r="X20" s="5" t="n">
        <v>0.210765</v>
      </c>
      <c r="Y20" s="2" t="s">
        <v>46</v>
      </c>
      <c r="Z20" s="5" t="n">
        <v>0.210765</v>
      </c>
      <c r="AA20" s="2" t="s">
        <v>46</v>
      </c>
      <c r="AF20" s="5" t="n">
        <v>0.063</v>
      </c>
      <c r="AG20" s="2" t="s">
        <v>46</v>
      </c>
      <c r="AH20" s="5" t="n">
        <v>0.021521</v>
      </c>
      <c r="AI20" s="2" t="s">
        <v>46</v>
      </c>
      <c r="AJ20" s="5" t="n">
        <v>0.021521</v>
      </c>
      <c r="AK20" s="2" t="s">
        <v>46</v>
      </c>
      <c r="AP20" s="5" t="n">
        <v>5.16</v>
      </c>
      <c r="AQ20" s="2" t="s">
        <v>46</v>
      </c>
      <c r="AR20" s="5" t="n">
        <v>1.762634</v>
      </c>
      <c r="AS20" s="2" t="s">
        <v>46</v>
      </c>
      <c r="AT20" s="5" t="n">
        <v>1.762634</v>
      </c>
      <c r="AU20" s="2" t="s">
        <v>46</v>
      </c>
      <c r="AZ20" s="5" t="n">
        <v>4.11</v>
      </c>
      <c r="BA20" s="2" t="s">
        <v>46</v>
      </c>
      <c r="BB20" s="5" t="n">
        <v>1.403958</v>
      </c>
      <c r="BC20" s="2" t="s">
        <v>46</v>
      </c>
      <c r="BD20" s="5" t="n">
        <v>1.403958</v>
      </c>
      <c r="BE20" s="2" t="s">
        <v>46</v>
      </c>
      <c r="BJ20" s="5" t="n">
        <v>4.41</v>
      </c>
      <c r="BK20" s="2" t="s">
        <v>46</v>
      </c>
      <c r="BP20" s="5" t="n">
        <v>0</v>
      </c>
      <c r="BQ20" s="2" t="s">
        <v>46</v>
      </c>
      <c r="BR20" s="5" t="n">
        <v>12.91</v>
      </c>
      <c r="BS20" s="5" t="n">
        <v>4.410002</v>
      </c>
      <c r="BT20" s="5" t="n">
        <v>4.410002</v>
      </c>
      <c r="BU20" s="5" t="n">
        <v>0</v>
      </c>
      <c r="BV20" s="5" t="n">
        <v>0</v>
      </c>
      <c r="BW20" s="5" t="n">
        <v>4.41</v>
      </c>
      <c r="BX20" s="5" t="n">
        <v>0</v>
      </c>
      <c r="BY20" s="5" t="n">
        <v>0</v>
      </c>
      <c r="BZ20" s="5" t="n">
        <v>0</v>
      </c>
    </row>
    <row r="21" customFormat="false" ht="13.8" hidden="false" customHeight="false" outlineLevel="0" collapsed="false">
      <c r="A21" s="3" t="n">
        <v>45383.3125</v>
      </c>
      <c r="B21" s="5" t="n">
        <v>1.632</v>
      </c>
      <c r="C21" s="2" t="s">
        <v>46</v>
      </c>
      <c r="D21" s="5" t="n">
        <v>0.630328</v>
      </c>
      <c r="E21" s="2" t="s">
        <v>46</v>
      </c>
      <c r="F21" s="5" t="n">
        <v>0.630328</v>
      </c>
      <c r="G21" s="2" t="s">
        <v>46</v>
      </c>
      <c r="L21" s="5" t="n">
        <v>1.124</v>
      </c>
      <c r="M21" s="2" t="s">
        <v>46</v>
      </c>
      <c r="N21" s="5" t="n">
        <v>0.434123</v>
      </c>
      <c r="O21" s="2" t="s">
        <v>46</v>
      </c>
      <c r="P21" s="5" t="n">
        <v>0.434123</v>
      </c>
      <c r="Q21" s="2" t="s">
        <v>46</v>
      </c>
      <c r="V21" s="5" t="n">
        <v>0.412</v>
      </c>
      <c r="W21" s="2" t="s">
        <v>46</v>
      </c>
      <c r="X21" s="5" t="n">
        <v>0.159127</v>
      </c>
      <c r="Y21" s="2" t="s">
        <v>46</v>
      </c>
      <c r="Z21" s="5" t="n">
        <v>0.159127</v>
      </c>
      <c r="AA21" s="2" t="s">
        <v>46</v>
      </c>
      <c r="AF21" s="5" t="n">
        <v>0.062</v>
      </c>
      <c r="AG21" s="2" t="s">
        <v>46</v>
      </c>
      <c r="AH21" s="5" t="n">
        <v>0.023946</v>
      </c>
      <c r="AI21" s="2" t="s">
        <v>46</v>
      </c>
      <c r="AJ21" s="5" t="n">
        <v>0.023946</v>
      </c>
      <c r="AK21" s="2" t="s">
        <v>46</v>
      </c>
      <c r="AP21" s="5" t="n">
        <v>5.175</v>
      </c>
      <c r="AQ21" s="2" t="s">
        <v>46</v>
      </c>
      <c r="AR21" s="5" t="n">
        <v>1.998744</v>
      </c>
      <c r="AS21" s="2" t="s">
        <v>46</v>
      </c>
      <c r="AT21" s="5" t="n">
        <v>1.998744</v>
      </c>
      <c r="AU21" s="2" t="s">
        <v>46</v>
      </c>
      <c r="AZ21" s="5" t="n">
        <v>6.12</v>
      </c>
      <c r="BA21" s="2" t="s">
        <v>46</v>
      </c>
      <c r="BB21" s="5" t="n">
        <v>2.363731</v>
      </c>
      <c r="BC21" s="2" t="s">
        <v>46</v>
      </c>
      <c r="BD21" s="5" t="n">
        <v>2.363731</v>
      </c>
      <c r="BE21" s="2" t="s">
        <v>46</v>
      </c>
      <c r="BJ21" s="5" t="n">
        <v>5.61</v>
      </c>
      <c r="BK21" s="2" t="s">
        <v>46</v>
      </c>
      <c r="BP21" s="5" t="n">
        <v>1E-006</v>
      </c>
      <c r="BQ21" s="2" t="s">
        <v>46</v>
      </c>
      <c r="BR21" s="5" t="n">
        <v>14.525</v>
      </c>
      <c r="BS21" s="5" t="n">
        <v>5.609999</v>
      </c>
      <c r="BT21" s="5" t="n">
        <v>5.609999</v>
      </c>
      <c r="BU21" s="5" t="n">
        <v>0</v>
      </c>
      <c r="BV21" s="5" t="n">
        <v>0</v>
      </c>
      <c r="BW21" s="5" t="n">
        <v>5.61</v>
      </c>
      <c r="BX21" s="5" t="n">
        <v>0</v>
      </c>
      <c r="BY21" s="5" t="n">
        <v>0</v>
      </c>
      <c r="BZ21" s="5" t="n">
        <v>1E-006</v>
      </c>
    </row>
    <row r="22" customFormat="false" ht="13.8" hidden="false" customHeight="false" outlineLevel="0" collapsed="false">
      <c r="A22" s="3" t="n">
        <v>45383.3229166667</v>
      </c>
      <c r="B22" s="5" t="n">
        <v>1.534</v>
      </c>
      <c r="C22" s="2" t="s">
        <v>46</v>
      </c>
      <c r="D22" s="5" t="n">
        <v>1.198511</v>
      </c>
      <c r="E22" s="2" t="s">
        <v>46</v>
      </c>
      <c r="F22" s="5" t="n">
        <v>1.198511</v>
      </c>
      <c r="G22" s="2" t="s">
        <v>46</v>
      </c>
      <c r="L22" s="5" t="n">
        <v>1.281</v>
      </c>
      <c r="M22" s="2" t="s">
        <v>46</v>
      </c>
      <c r="N22" s="5" t="n">
        <v>1.000842</v>
      </c>
      <c r="O22" s="2" t="s">
        <v>46</v>
      </c>
      <c r="P22" s="5" t="n">
        <v>1.000842</v>
      </c>
      <c r="Q22" s="2" t="s">
        <v>46</v>
      </c>
      <c r="V22" s="5" t="n">
        <v>0.784</v>
      </c>
      <c r="W22" s="2" t="s">
        <v>46</v>
      </c>
      <c r="X22" s="5" t="n">
        <v>0.612537</v>
      </c>
      <c r="Y22" s="2" t="s">
        <v>46</v>
      </c>
      <c r="Z22" s="5" t="n">
        <v>0.612537</v>
      </c>
      <c r="AA22" s="2" t="s">
        <v>46</v>
      </c>
      <c r="AF22" s="5" t="n">
        <v>0.066</v>
      </c>
      <c r="AG22" s="2" t="s">
        <v>46</v>
      </c>
      <c r="AH22" s="5" t="n">
        <v>0.051566</v>
      </c>
      <c r="AI22" s="2" t="s">
        <v>46</v>
      </c>
      <c r="AJ22" s="5" t="n">
        <v>0.051566</v>
      </c>
      <c r="AK22" s="2" t="s">
        <v>46</v>
      </c>
      <c r="AP22" s="5" t="n">
        <v>4.2675</v>
      </c>
      <c r="AQ22" s="2" t="s">
        <v>46</v>
      </c>
      <c r="AR22" s="5" t="n">
        <v>3.334188</v>
      </c>
      <c r="AS22" s="2" t="s">
        <v>46</v>
      </c>
      <c r="AT22" s="5" t="n">
        <v>3.334188</v>
      </c>
      <c r="AU22" s="2" t="s">
        <v>46</v>
      </c>
      <c r="AZ22" s="5" t="n">
        <v>3.51</v>
      </c>
      <c r="BA22" s="2" t="s">
        <v>46</v>
      </c>
      <c r="BB22" s="5" t="n">
        <v>2.742355</v>
      </c>
      <c r="BC22" s="2" t="s">
        <v>46</v>
      </c>
      <c r="BD22" s="5" t="n">
        <v>2.742355</v>
      </c>
      <c r="BE22" s="2" t="s">
        <v>46</v>
      </c>
      <c r="BJ22" s="5" t="n">
        <v>8.94</v>
      </c>
      <c r="BK22" s="2" t="s">
        <v>46</v>
      </c>
      <c r="BP22" s="5" t="n">
        <v>0.1</v>
      </c>
      <c r="BQ22" s="2" t="s">
        <v>46</v>
      </c>
      <c r="BR22" s="5" t="n">
        <v>11.4425</v>
      </c>
      <c r="BS22" s="5" t="n">
        <v>8.939999</v>
      </c>
      <c r="BT22" s="5" t="n">
        <v>8.939999</v>
      </c>
      <c r="BU22" s="5" t="n">
        <v>0</v>
      </c>
      <c r="BV22" s="5" t="n">
        <v>0</v>
      </c>
      <c r="BW22" s="5" t="n">
        <v>8.94</v>
      </c>
      <c r="BX22" s="5" t="n">
        <v>0</v>
      </c>
      <c r="BY22" s="5" t="n">
        <v>0</v>
      </c>
      <c r="BZ22" s="5" t="n">
        <v>1E-006</v>
      </c>
    </row>
    <row r="23" customFormat="false" ht="13.8" hidden="false" customHeight="false" outlineLevel="0" collapsed="false">
      <c r="A23" s="3" t="n">
        <v>45383.3333333333</v>
      </c>
      <c r="B23" s="5" t="n">
        <v>1.38</v>
      </c>
      <c r="C23" s="2" t="s">
        <v>46</v>
      </c>
      <c r="D23" s="5" t="n">
        <v>1.234198</v>
      </c>
      <c r="E23" s="2" t="s">
        <v>46</v>
      </c>
      <c r="F23" s="5" t="n">
        <v>1.234198</v>
      </c>
      <c r="G23" s="2" t="s">
        <v>46</v>
      </c>
      <c r="L23" s="5" t="n">
        <v>1.166</v>
      </c>
      <c r="M23" s="2" t="s">
        <v>46</v>
      </c>
      <c r="N23" s="5" t="n">
        <v>1.042808</v>
      </c>
      <c r="O23" s="2" t="s">
        <v>46</v>
      </c>
      <c r="P23" s="5" t="n">
        <v>1.042808</v>
      </c>
      <c r="Q23" s="2" t="s">
        <v>46</v>
      </c>
      <c r="V23" s="5" t="n">
        <v>0.632</v>
      </c>
      <c r="W23" s="2" t="s">
        <v>46</v>
      </c>
      <c r="X23" s="5" t="n">
        <v>0.565227</v>
      </c>
      <c r="Y23" s="2" t="s">
        <v>46</v>
      </c>
      <c r="Z23" s="5" t="n">
        <v>0.565227</v>
      </c>
      <c r="AA23" s="2" t="s">
        <v>46</v>
      </c>
      <c r="AF23" s="5" t="n">
        <v>0.073</v>
      </c>
      <c r="AG23" s="2" t="s">
        <v>46</v>
      </c>
      <c r="AH23" s="5" t="n">
        <v>0.065287</v>
      </c>
      <c r="AI23" s="2" t="s">
        <v>46</v>
      </c>
      <c r="AJ23" s="5" t="n">
        <v>0.065287</v>
      </c>
      <c r="AK23" s="2" t="s">
        <v>46</v>
      </c>
      <c r="AP23" s="5" t="n">
        <v>5.6775</v>
      </c>
      <c r="AQ23" s="2" t="s">
        <v>46</v>
      </c>
      <c r="AR23" s="5" t="n">
        <v>5.077652</v>
      </c>
      <c r="AS23" s="2" t="s">
        <v>46</v>
      </c>
      <c r="AT23" s="5" t="n">
        <v>5.077652</v>
      </c>
      <c r="AU23" s="2" t="s">
        <v>46</v>
      </c>
      <c r="AZ23" s="5" t="n">
        <v>5.16</v>
      </c>
      <c r="BA23" s="2" t="s">
        <v>46</v>
      </c>
      <c r="BB23" s="5" t="n">
        <v>4.614828</v>
      </c>
      <c r="BC23" s="2" t="s">
        <v>46</v>
      </c>
      <c r="BD23" s="5" t="n">
        <v>4.614828</v>
      </c>
      <c r="BE23" s="2" t="s">
        <v>46</v>
      </c>
      <c r="BJ23" s="5" t="n">
        <v>12.6</v>
      </c>
      <c r="BK23" s="2" t="s">
        <v>46</v>
      </c>
      <c r="BP23" s="5" t="n">
        <v>0</v>
      </c>
      <c r="BQ23" s="2" t="s">
        <v>46</v>
      </c>
      <c r="BR23" s="5" t="n">
        <v>14.0885</v>
      </c>
      <c r="BS23" s="5" t="n">
        <v>12.6</v>
      </c>
      <c r="BT23" s="5" t="n">
        <v>12.6</v>
      </c>
      <c r="BU23" s="5" t="n">
        <v>0</v>
      </c>
      <c r="BV23" s="5" t="n">
        <v>0</v>
      </c>
      <c r="BW23" s="5" t="n">
        <v>12.6</v>
      </c>
      <c r="BX23" s="5" t="n">
        <v>0</v>
      </c>
      <c r="BY23" s="5" t="n">
        <v>0</v>
      </c>
      <c r="BZ23" s="5" t="n">
        <v>0</v>
      </c>
    </row>
    <row r="24" customFormat="false" ht="13.8" hidden="false" customHeight="false" outlineLevel="0" collapsed="false">
      <c r="A24" s="3" t="n">
        <v>45383.34375</v>
      </c>
      <c r="B24" s="5" t="n">
        <v>1.565</v>
      </c>
      <c r="C24" s="2" t="s">
        <v>46</v>
      </c>
      <c r="D24" s="5" t="n">
        <v>1.216186</v>
      </c>
      <c r="E24" s="2" t="s">
        <v>46</v>
      </c>
      <c r="F24" s="5" t="n">
        <v>1.216186</v>
      </c>
      <c r="G24" s="2" t="s">
        <v>46</v>
      </c>
      <c r="L24" s="5" t="n">
        <v>1.148</v>
      </c>
      <c r="M24" s="2" t="s">
        <v>46</v>
      </c>
      <c r="N24" s="5" t="n">
        <v>0.892129</v>
      </c>
      <c r="O24" s="2" t="s">
        <v>46</v>
      </c>
      <c r="P24" s="5" t="n">
        <v>0.892129</v>
      </c>
      <c r="Q24" s="2" t="s">
        <v>46</v>
      </c>
      <c r="V24" s="5" t="n">
        <v>0.786</v>
      </c>
      <c r="W24" s="2" t="s">
        <v>46</v>
      </c>
      <c r="X24" s="5" t="n">
        <v>0.610813</v>
      </c>
      <c r="Y24" s="2" t="s">
        <v>46</v>
      </c>
      <c r="Z24" s="5" t="n">
        <v>0.610813</v>
      </c>
      <c r="AA24" s="2" t="s">
        <v>46</v>
      </c>
      <c r="AF24" s="5" t="n">
        <v>0.041</v>
      </c>
      <c r="AG24" s="2" t="s">
        <v>46</v>
      </c>
      <c r="AH24" s="5" t="n">
        <v>0.031862</v>
      </c>
      <c r="AI24" s="2" t="s">
        <v>46</v>
      </c>
      <c r="AJ24" s="5" t="n">
        <v>0.031862</v>
      </c>
      <c r="AK24" s="2" t="s">
        <v>46</v>
      </c>
      <c r="AP24" s="5" t="n">
        <v>10.1475</v>
      </c>
      <c r="AQ24" s="2" t="s">
        <v>46</v>
      </c>
      <c r="AR24" s="5" t="n">
        <v>7.885781</v>
      </c>
      <c r="AS24" s="2" t="s">
        <v>46</v>
      </c>
      <c r="AT24" s="5" t="n">
        <v>7.885781</v>
      </c>
      <c r="AU24" s="2" t="s">
        <v>46</v>
      </c>
      <c r="AZ24" s="5" t="n">
        <v>5.19</v>
      </c>
      <c r="BA24" s="2" t="s">
        <v>46</v>
      </c>
      <c r="BB24" s="5" t="n">
        <v>4.03323</v>
      </c>
      <c r="BC24" s="2" t="s">
        <v>46</v>
      </c>
      <c r="BD24" s="5" t="n">
        <v>4.03323</v>
      </c>
      <c r="BE24" s="2" t="s">
        <v>46</v>
      </c>
      <c r="BJ24" s="5" t="n">
        <v>14.67</v>
      </c>
      <c r="BK24" s="2" t="s">
        <v>46</v>
      </c>
      <c r="BP24" s="5" t="n">
        <v>0</v>
      </c>
      <c r="BQ24" s="2" t="s">
        <v>46</v>
      </c>
      <c r="BR24" s="5" t="n">
        <v>18.8775</v>
      </c>
      <c r="BS24" s="5" t="n">
        <v>14.670001</v>
      </c>
      <c r="BT24" s="5" t="n">
        <v>14.670001</v>
      </c>
      <c r="BU24" s="5" t="n">
        <v>0</v>
      </c>
      <c r="BV24" s="5" t="n">
        <v>0</v>
      </c>
      <c r="BW24" s="5" t="n">
        <v>14.67</v>
      </c>
      <c r="BX24" s="5" t="n">
        <v>0</v>
      </c>
      <c r="BY24" s="5" t="n">
        <v>0</v>
      </c>
      <c r="BZ24" s="5" t="n">
        <v>0</v>
      </c>
    </row>
    <row r="25" customFormat="false" ht="13.8" hidden="false" customHeight="false" outlineLevel="0" collapsed="false">
      <c r="A25" s="3" t="n">
        <v>45383.3541666667</v>
      </c>
      <c r="B25" s="5" t="n">
        <v>1.545</v>
      </c>
      <c r="C25" s="2" t="s">
        <v>46</v>
      </c>
      <c r="D25" s="5" t="n">
        <v>1.384754</v>
      </c>
      <c r="E25" s="2" t="s">
        <v>46</v>
      </c>
      <c r="F25" s="5" t="n">
        <v>1.384754</v>
      </c>
      <c r="G25" s="2" t="s">
        <v>46</v>
      </c>
      <c r="L25" s="5" t="n">
        <v>1.214</v>
      </c>
      <c r="M25" s="2" t="s">
        <v>46</v>
      </c>
      <c r="N25" s="5" t="n">
        <v>1.088085</v>
      </c>
      <c r="O25" s="2" t="s">
        <v>46</v>
      </c>
      <c r="P25" s="5" t="n">
        <v>1.088085</v>
      </c>
      <c r="Q25" s="2" t="s">
        <v>46</v>
      </c>
      <c r="V25" s="5" t="n">
        <v>0.359</v>
      </c>
      <c r="W25" s="2" t="s">
        <v>46</v>
      </c>
      <c r="X25" s="5" t="n">
        <v>0.321765</v>
      </c>
      <c r="Y25" s="2" t="s">
        <v>46</v>
      </c>
      <c r="Z25" s="5" t="n">
        <v>0.321765</v>
      </c>
      <c r="AA25" s="2" t="s">
        <v>46</v>
      </c>
      <c r="AF25" s="5" t="n">
        <v>0.095</v>
      </c>
      <c r="AG25" s="2" t="s">
        <v>46</v>
      </c>
      <c r="AH25" s="5" t="n">
        <v>0.085147</v>
      </c>
      <c r="AI25" s="2" t="s">
        <v>46</v>
      </c>
      <c r="AJ25" s="5" t="n">
        <v>0.085147</v>
      </c>
      <c r="AK25" s="2" t="s">
        <v>46</v>
      </c>
      <c r="AP25" s="5" t="n">
        <v>9.7875</v>
      </c>
      <c r="AQ25" s="2" t="s">
        <v>46</v>
      </c>
      <c r="AR25" s="5" t="n">
        <v>8.772349</v>
      </c>
      <c r="AS25" s="2" t="s">
        <v>46</v>
      </c>
      <c r="AT25" s="5" t="n">
        <v>8.772349</v>
      </c>
      <c r="AU25" s="2" t="s">
        <v>46</v>
      </c>
      <c r="AZ25" s="5" t="n">
        <v>6.48</v>
      </c>
      <c r="BA25" s="2" t="s">
        <v>46</v>
      </c>
      <c r="BB25" s="5" t="n">
        <v>5.8079</v>
      </c>
      <c r="BC25" s="2" t="s">
        <v>46</v>
      </c>
      <c r="BD25" s="5" t="n">
        <v>5.8079</v>
      </c>
      <c r="BE25" s="2" t="s">
        <v>46</v>
      </c>
      <c r="BJ25" s="5" t="n">
        <v>17.46</v>
      </c>
      <c r="BK25" s="2" t="s">
        <v>46</v>
      </c>
      <c r="BP25" s="5" t="n">
        <v>0</v>
      </c>
      <c r="BQ25" s="2" t="s">
        <v>46</v>
      </c>
      <c r="BR25" s="5" t="n">
        <v>19.4805</v>
      </c>
      <c r="BS25" s="5" t="n">
        <v>17.46</v>
      </c>
      <c r="BT25" s="5" t="n">
        <v>17.46</v>
      </c>
      <c r="BU25" s="5" t="n">
        <v>0</v>
      </c>
      <c r="BV25" s="5" t="n">
        <v>0</v>
      </c>
      <c r="BW25" s="5" t="n">
        <v>17.46</v>
      </c>
      <c r="BX25" s="5" t="n">
        <v>0</v>
      </c>
      <c r="BY25" s="5" t="n">
        <v>0</v>
      </c>
      <c r="BZ25" s="5" t="n">
        <v>0</v>
      </c>
    </row>
    <row r="26" customFormat="false" ht="13.8" hidden="false" customHeight="false" outlineLevel="0" collapsed="false">
      <c r="A26" s="3" t="n">
        <v>45383.3645833333</v>
      </c>
      <c r="B26" s="5" t="n">
        <v>1.678</v>
      </c>
      <c r="C26" s="2" t="s">
        <v>46</v>
      </c>
      <c r="D26" s="5" t="n">
        <v>1.430015</v>
      </c>
      <c r="E26" s="2" t="s">
        <v>46</v>
      </c>
      <c r="F26" s="5" t="n">
        <v>1.430015</v>
      </c>
      <c r="G26" s="2" t="s">
        <v>46</v>
      </c>
      <c r="L26" s="5" t="n">
        <v>1.116</v>
      </c>
      <c r="M26" s="2" t="s">
        <v>46</v>
      </c>
      <c r="N26" s="5" t="n">
        <v>0.951071</v>
      </c>
      <c r="O26" s="2" t="s">
        <v>46</v>
      </c>
      <c r="P26" s="5" t="n">
        <v>0.951071</v>
      </c>
      <c r="Q26" s="2" t="s">
        <v>46</v>
      </c>
      <c r="V26" s="5" t="n">
        <v>0.703</v>
      </c>
      <c r="W26" s="2" t="s">
        <v>46</v>
      </c>
      <c r="X26" s="5" t="n">
        <v>0.599106</v>
      </c>
      <c r="Y26" s="2" t="s">
        <v>46</v>
      </c>
      <c r="Z26" s="5" t="n">
        <v>0.599106</v>
      </c>
      <c r="AA26" s="2" t="s">
        <v>46</v>
      </c>
      <c r="AF26" s="5" t="n">
        <v>0.042</v>
      </c>
      <c r="AG26" s="2" t="s">
        <v>46</v>
      </c>
      <c r="AH26" s="5" t="n">
        <v>0.035793</v>
      </c>
      <c r="AI26" s="2" t="s">
        <v>46</v>
      </c>
      <c r="AJ26" s="5" t="n">
        <v>0.035793</v>
      </c>
      <c r="AK26" s="2" t="s">
        <v>46</v>
      </c>
      <c r="AP26" s="5" t="n">
        <v>12.4875</v>
      </c>
      <c r="AQ26" s="2" t="s">
        <v>46</v>
      </c>
      <c r="AR26" s="5" t="n">
        <v>10.64202</v>
      </c>
      <c r="AS26" s="2" t="s">
        <v>46</v>
      </c>
      <c r="AT26" s="5" t="n">
        <v>10.64202</v>
      </c>
      <c r="AU26" s="2" t="s">
        <v>46</v>
      </c>
      <c r="AZ26" s="5" t="n">
        <v>8.58</v>
      </c>
      <c r="BA26" s="2" t="s">
        <v>46</v>
      </c>
      <c r="BB26" s="5" t="n">
        <v>7.311995</v>
      </c>
      <c r="BC26" s="2" t="s">
        <v>46</v>
      </c>
      <c r="BD26" s="5" t="n">
        <v>7.311995</v>
      </c>
      <c r="BE26" s="2" t="s">
        <v>46</v>
      </c>
      <c r="BJ26" s="5" t="n">
        <v>20.97</v>
      </c>
      <c r="BK26" s="2" t="s">
        <v>46</v>
      </c>
      <c r="BP26" s="5" t="n">
        <v>0</v>
      </c>
      <c r="BQ26" s="2" t="s">
        <v>46</v>
      </c>
      <c r="BR26" s="5" t="n">
        <v>24.6065</v>
      </c>
      <c r="BS26" s="5" t="n">
        <v>20.97</v>
      </c>
      <c r="BT26" s="5" t="n">
        <v>20.97</v>
      </c>
      <c r="BU26" s="5" t="n">
        <v>0</v>
      </c>
      <c r="BV26" s="5" t="n">
        <v>0</v>
      </c>
      <c r="BW26" s="5" t="n">
        <v>20.97</v>
      </c>
      <c r="BX26" s="5" t="n">
        <v>0</v>
      </c>
      <c r="BY26" s="5" t="n">
        <v>0</v>
      </c>
      <c r="BZ26" s="5" t="n">
        <v>0</v>
      </c>
    </row>
    <row r="27" customFormat="false" ht="13.8" hidden="false" customHeight="false" outlineLevel="0" collapsed="false">
      <c r="A27" s="3" t="n">
        <v>45383.375</v>
      </c>
      <c r="B27" s="5" t="n">
        <v>1.712</v>
      </c>
      <c r="C27" s="2" t="s">
        <v>46</v>
      </c>
      <c r="D27" s="5" t="n">
        <v>2.069223</v>
      </c>
      <c r="E27" s="2" t="s">
        <v>46</v>
      </c>
      <c r="F27" s="5" t="n">
        <v>1.712</v>
      </c>
      <c r="G27" s="2" t="s">
        <v>46</v>
      </c>
      <c r="L27" s="5" t="n">
        <v>0.977</v>
      </c>
      <c r="M27" s="2" t="s">
        <v>46</v>
      </c>
      <c r="N27" s="5" t="n">
        <v>1.180859</v>
      </c>
      <c r="O27" s="2" t="s">
        <v>46</v>
      </c>
      <c r="P27" s="5" t="n">
        <v>0.977</v>
      </c>
      <c r="Q27" s="2" t="s">
        <v>46</v>
      </c>
      <c r="V27" s="5" t="n">
        <v>0.833</v>
      </c>
      <c r="W27" s="2" t="s">
        <v>46</v>
      </c>
      <c r="X27" s="5" t="n">
        <v>1.006812</v>
      </c>
      <c r="Y27" s="2" t="s">
        <v>46</v>
      </c>
      <c r="Z27" s="5" t="n">
        <v>0.833</v>
      </c>
      <c r="AA27" s="2" t="s">
        <v>46</v>
      </c>
      <c r="AF27" s="5" t="n">
        <v>0.074</v>
      </c>
      <c r="AG27" s="2" t="s">
        <v>46</v>
      </c>
      <c r="AH27" s="5" t="n">
        <v>0.089441</v>
      </c>
      <c r="AI27" s="2" t="s">
        <v>46</v>
      </c>
      <c r="AJ27" s="5" t="n">
        <v>0.074</v>
      </c>
      <c r="AK27" s="2" t="s">
        <v>46</v>
      </c>
      <c r="AP27" s="5" t="n">
        <v>9.255</v>
      </c>
      <c r="AQ27" s="2" t="s">
        <v>46</v>
      </c>
      <c r="AR27" s="5" t="n">
        <v>11.186131</v>
      </c>
      <c r="AS27" s="2" t="s">
        <v>46</v>
      </c>
      <c r="AT27" s="5" t="n">
        <v>9.255</v>
      </c>
      <c r="AU27" s="2" t="s">
        <v>46</v>
      </c>
      <c r="AZ27" s="5" t="n">
        <v>7.8</v>
      </c>
      <c r="BA27" s="2" t="s">
        <v>46</v>
      </c>
      <c r="BB27" s="5" t="n">
        <v>9.427534</v>
      </c>
      <c r="BC27" s="2" t="s">
        <v>46</v>
      </c>
      <c r="BD27" s="5" t="n">
        <v>7.8</v>
      </c>
      <c r="BE27" s="2" t="s">
        <v>46</v>
      </c>
      <c r="BJ27" s="5" t="n">
        <v>24.96</v>
      </c>
      <c r="BK27" s="2" t="s">
        <v>46</v>
      </c>
      <c r="BP27" s="5" t="n">
        <v>4.309</v>
      </c>
      <c r="BQ27" s="2" t="s">
        <v>46</v>
      </c>
      <c r="BR27" s="5" t="n">
        <v>20.651</v>
      </c>
      <c r="BS27" s="5" t="n">
        <v>24.96</v>
      </c>
      <c r="BT27" s="5" t="n">
        <v>20.651</v>
      </c>
      <c r="BU27" s="5" t="n">
        <v>0</v>
      </c>
      <c r="BV27" s="5" t="n">
        <v>0</v>
      </c>
      <c r="BW27" s="5" t="n">
        <v>24.96</v>
      </c>
      <c r="BX27" s="5" t="n">
        <v>0</v>
      </c>
      <c r="BY27" s="5" t="n">
        <v>0</v>
      </c>
      <c r="BZ27" s="5" t="n">
        <v>4.309</v>
      </c>
    </row>
    <row r="1046589" customFormat="false" ht="12.8" hidden="false" customHeight="false" outlineLevel="0" collapsed="false"/>
    <row r="1046590" customFormat="false" ht="12.8" hidden="false" customHeight="false" outlineLevel="0" collapsed="false"/>
    <row r="1046591" customFormat="false" ht="12.8" hidden="false" customHeight="false" outlineLevel="0" collapsed="false"/>
    <row r="1046592" customFormat="false" ht="12.8" hidden="false" customHeight="false" outlineLevel="0" collapsed="false"/>
    <row r="1046593" customFormat="false" ht="12.8" hidden="false" customHeight="false" outlineLevel="0" collapsed="false"/>
    <row r="1046594" customFormat="false" ht="12.8" hidden="false" customHeight="false" outlineLevel="0" collapsed="false"/>
    <row r="1046595" customFormat="false" ht="12.8" hidden="false" customHeight="false" outlineLevel="0" collapsed="false"/>
    <row r="1046596" customFormat="false" ht="12.8" hidden="false" customHeight="false" outlineLevel="0" collapsed="false"/>
    <row r="1046597" customFormat="false" ht="12.8" hidden="false" customHeight="false" outlineLevel="0" collapsed="false"/>
    <row r="1046598" customFormat="false" ht="12.8" hidden="false" customHeight="false" outlineLevel="0" collapsed="false"/>
    <row r="1046599" customFormat="false" ht="12.8" hidden="false" customHeight="false" outlineLevel="0" collapsed="false"/>
    <row r="1046600" customFormat="false" ht="12.8" hidden="false" customHeight="false" outlineLevel="0" collapsed="false"/>
    <row r="1046601" customFormat="false" ht="12.8" hidden="false" customHeight="false" outlineLevel="0" collapsed="false"/>
    <row r="1046602" customFormat="false" ht="12.8" hidden="false" customHeight="false" outlineLevel="0" collapsed="false"/>
    <row r="1046603" customFormat="false" ht="12.8" hidden="false" customHeight="false" outlineLevel="0" collapsed="false"/>
    <row r="1046604" customFormat="false" ht="12.8" hidden="false" customHeight="false" outlineLevel="0" collapsed="false"/>
    <row r="1046605" customFormat="false" ht="12.8" hidden="false" customHeight="false" outlineLevel="0" collapsed="false"/>
    <row r="1046606" customFormat="false" ht="12.8" hidden="false" customHeight="false" outlineLevel="0" collapsed="false"/>
    <row r="1046607" customFormat="false" ht="12.8" hidden="false" customHeight="false" outlineLevel="0" collapsed="false"/>
    <row r="1046608" customFormat="false" ht="12.8" hidden="false" customHeight="false" outlineLevel="0" collapsed="false"/>
    <row r="1046609" customFormat="false" ht="12.8" hidden="false" customHeight="false" outlineLevel="0" collapsed="false"/>
    <row r="1046610" customFormat="false" ht="12.8" hidden="false" customHeight="false" outlineLevel="0" collapsed="false"/>
    <row r="1046611" customFormat="false" ht="12.8" hidden="false" customHeight="false" outlineLevel="0" collapsed="false"/>
    <row r="1046612" customFormat="false" ht="12.8" hidden="false" customHeight="false" outlineLevel="0" collapsed="false"/>
    <row r="1046613" customFormat="false" ht="12.8" hidden="false" customHeight="false" outlineLevel="0" collapsed="false"/>
    <row r="1046614" customFormat="false" ht="12.8" hidden="false" customHeight="false" outlineLevel="0" collapsed="false"/>
    <row r="1046615" customFormat="false" ht="12.8" hidden="false" customHeight="false" outlineLevel="0" collapsed="false"/>
    <row r="1046616" customFormat="false" ht="12.8" hidden="false" customHeight="false" outlineLevel="0" collapsed="false"/>
    <row r="1046617" customFormat="false" ht="12.8" hidden="false" customHeight="false" outlineLevel="0" collapsed="false"/>
    <row r="1046618" customFormat="false" ht="12.8" hidden="false" customHeight="false" outlineLevel="0" collapsed="false"/>
    <row r="1046619" customFormat="false" ht="12.8" hidden="false" customHeight="false" outlineLevel="0" collapsed="false"/>
    <row r="1046620" customFormat="false" ht="12.8" hidden="false" customHeight="false" outlineLevel="0" collapsed="false"/>
    <row r="1046621" customFormat="false" ht="12.8" hidden="false" customHeight="false" outlineLevel="0" collapsed="false"/>
    <row r="1046622" customFormat="false" ht="12.8" hidden="false" customHeight="false" outlineLevel="0" collapsed="false"/>
    <row r="1046623" customFormat="false" ht="12.8" hidden="false" customHeight="false" outlineLevel="0" collapsed="false"/>
    <row r="1046624" customFormat="false" ht="12.8" hidden="false" customHeight="false" outlineLevel="0" collapsed="false"/>
    <row r="1046625" customFormat="false" ht="12.8" hidden="false" customHeight="false" outlineLevel="0" collapsed="false"/>
    <row r="1046626" customFormat="false" ht="12.8" hidden="false" customHeight="false" outlineLevel="0" collapsed="false"/>
    <row r="1046627" customFormat="false" ht="12.8" hidden="false" customHeight="false" outlineLevel="0" collapsed="false"/>
    <row r="1046628" customFormat="false" ht="12.8" hidden="false" customHeight="false" outlineLevel="0" collapsed="false"/>
    <row r="1046629" customFormat="false" ht="12.8" hidden="false" customHeight="false" outlineLevel="0" collapsed="false"/>
    <row r="1046630" customFormat="false" ht="12.8" hidden="false" customHeight="false" outlineLevel="0" collapsed="false"/>
    <row r="1046631" customFormat="false" ht="12.8" hidden="false" customHeight="false" outlineLevel="0" collapsed="false"/>
    <row r="1046632" customFormat="false" ht="12.8" hidden="false" customHeight="false" outlineLevel="0" collapsed="false"/>
    <row r="1046633" customFormat="false" ht="12.8" hidden="false" customHeight="false" outlineLevel="0" collapsed="false"/>
    <row r="1046634" customFormat="false" ht="12.8" hidden="false" customHeight="false" outlineLevel="0" collapsed="false"/>
    <row r="1046635" customFormat="false" ht="12.8" hidden="false" customHeight="false" outlineLevel="0" collapsed="false"/>
    <row r="1046636" customFormat="false" ht="12.8" hidden="false" customHeight="false" outlineLevel="0" collapsed="false"/>
    <row r="1046637" customFormat="false" ht="12.8" hidden="false" customHeight="false" outlineLevel="0" collapsed="false"/>
    <row r="1046638" customFormat="false" ht="12.8" hidden="false" customHeight="false" outlineLevel="0" collapsed="false"/>
    <row r="1046639" customFormat="false" ht="12.8" hidden="false" customHeight="false" outlineLevel="0" collapsed="false"/>
    <row r="1046640" customFormat="false" ht="12.8" hidden="false" customHeight="false" outlineLevel="0" collapsed="false"/>
    <row r="1046641" customFormat="false" ht="12.8" hidden="false" customHeight="false" outlineLevel="0" collapsed="false"/>
    <row r="1046642" customFormat="false" ht="12.8" hidden="false" customHeight="false" outlineLevel="0" collapsed="false"/>
    <row r="1046643" customFormat="false" ht="12.8" hidden="false" customHeight="false" outlineLevel="0" collapsed="false"/>
    <row r="1046644" customFormat="false" ht="12.8" hidden="false" customHeight="false" outlineLevel="0" collapsed="false"/>
    <row r="1046645" customFormat="false" ht="12.8" hidden="false" customHeight="false" outlineLevel="0" collapsed="false"/>
    <row r="1046646" customFormat="false" ht="12.8" hidden="false" customHeight="false" outlineLevel="0" collapsed="false"/>
    <row r="1046647" customFormat="false" ht="12.8" hidden="false" customHeight="false" outlineLevel="0" collapsed="false"/>
    <row r="1046648" customFormat="false" ht="12.8" hidden="false" customHeight="false" outlineLevel="0" collapsed="false"/>
    <row r="1046649" customFormat="false" ht="12.8" hidden="false" customHeight="false" outlineLevel="0" collapsed="false"/>
    <row r="1046650" customFormat="false" ht="12.8" hidden="false" customHeight="false" outlineLevel="0" collapsed="false"/>
    <row r="1046651" customFormat="false" ht="12.8" hidden="false" customHeight="false" outlineLevel="0" collapsed="false"/>
    <row r="1046652" customFormat="false" ht="12.8" hidden="false" customHeight="false" outlineLevel="0" collapsed="false"/>
    <row r="1046653" customFormat="false" ht="12.8" hidden="false" customHeight="false" outlineLevel="0" collapsed="false"/>
    <row r="1046654" customFormat="false" ht="12.8" hidden="false" customHeight="false" outlineLevel="0" collapsed="false"/>
    <row r="1046655" customFormat="false" ht="12.8" hidden="false" customHeight="false" outlineLevel="0" collapsed="false"/>
    <row r="1046656" customFormat="false" ht="12.8" hidden="false" customHeight="false" outlineLevel="0" collapsed="false"/>
    <row r="1046657" customFormat="false" ht="12.8" hidden="false" customHeight="false" outlineLevel="0" collapsed="false"/>
    <row r="1046658" customFormat="false" ht="12.8" hidden="false" customHeight="false" outlineLevel="0" collapsed="false"/>
    <row r="1046659" customFormat="false" ht="12.8" hidden="false" customHeight="false" outlineLevel="0" collapsed="false"/>
    <row r="1046660" customFormat="false" ht="12.8" hidden="false" customHeight="false" outlineLevel="0" collapsed="false"/>
    <row r="1046661" customFormat="false" ht="12.8" hidden="false" customHeight="false" outlineLevel="0" collapsed="false"/>
    <row r="1046662" customFormat="false" ht="12.8" hidden="false" customHeight="false" outlineLevel="0" collapsed="false"/>
    <row r="1046663" customFormat="false" ht="12.8" hidden="false" customHeight="false" outlineLevel="0" collapsed="false"/>
    <row r="1046664" customFormat="false" ht="12.8" hidden="false" customHeight="false" outlineLevel="0" collapsed="false"/>
    <row r="1046665" customFormat="false" ht="12.8" hidden="false" customHeight="false" outlineLevel="0" collapsed="false"/>
    <row r="1046666" customFormat="false" ht="12.8" hidden="false" customHeight="false" outlineLevel="0" collapsed="false"/>
    <row r="1046667" customFormat="false" ht="12.8" hidden="false" customHeight="false" outlineLevel="0" collapsed="false"/>
    <row r="1046668" customFormat="false" ht="12.8" hidden="false" customHeight="false" outlineLevel="0" collapsed="false"/>
    <row r="1046669" customFormat="false" ht="12.8" hidden="false" customHeight="false" outlineLevel="0" collapsed="false"/>
    <row r="1046670" customFormat="false" ht="12.8" hidden="false" customHeight="false" outlineLevel="0" collapsed="false"/>
    <row r="1046671" customFormat="false" ht="12.8" hidden="false" customHeight="false" outlineLevel="0" collapsed="false"/>
    <row r="1046672" customFormat="false" ht="12.8" hidden="false" customHeight="false" outlineLevel="0" collapsed="false"/>
    <row r="1046673" customFormat="false" ht="12.8" hidden="false" customHeight="false" outlineLevel="0" collapsed="false"/>
    <row r="1046674" customFormat="false" ht="12.8" hidden="false" customHeight="false" outlineLevel="0" collapsed="false"/>
    <row r="1046675" customFormat="false" ht="12.8" hidden="false" customHeight="false" outlineLevel="0" collapsed="false"/>
    <row r="1046676" customFormat="false" ht="12.8" hidden="false" customHeight="false" outlineLevel="0" collapsed="false"/>
    <row r="1046677" customFormat="false" ht="12.8" hidden="false" customHeight="false" outlineLevel="0" collapsed="false"/>
    <row r="1046678" customFormat="false" ht="12.8" hidden="false" customHeight="false" outlineLevel="0" collapsed="false"/>
    <row r="1046679" customFormat="false" ht="12.8" hidden="false" customHeight="false" outlineLevel="0" collapsed="false"/>
    <row r="1046680" customFormat="false" ht="12.8" hidden="false" customHeight="false" outlineLevel="0" collapsed="false"/>
    <row r="1046681" customFormat="false" ht="12.8" hidden="false" customHeight="false" outlineLevel="0" collapsed="false"/>
    <row r="1046682" customFormat="false" ht="12.8" hidden="false" customHeight="false" outlineLevel="0" collapsed="false"/>
    <row r="1046683" customFormat="false" ht="12.8" hidden="false" customHeight="false" outlineLevel="0" collapsed="false"/>
    <row r="1046684" customFormat="false" ht="12.8" hidden="false" customHeight="false" outlineLevel="0" collapsed="false"/>
    <row r="1046685" customFormat="false" ht="12.8" hidden="false" customHeight="false" outlineLevel="0" collapsed="false"/>
    <row r="1046686" customFormat="false" ht="12.8" hidden="false" customHeight="false" outlineLevel="0" collapsed="false"/>
    <row r="1046687" customFormat="false" ht="12.8" hidden="false" customHeight="false" outlineLevel="0" collapsed="false"/>
    <row r="1046688" customFormat="false" ht="12.8" hidden="false" customHeight="false" outlineLevel="0" collapsed="false"/>
    <row r="1046689" customFormat="false" ht="12.8" hidden="false" customHeight="false" outlineLevel="0" collapsed="false"/>
    <row r="1046690" customFormat="false" ht="12.8" hidden="false" customHeight="false" outlineLevel="0" collapsed="false"/>
    <row r="1046691" customFormat="false" ht="12.8" hidden="false" customHeight="false" outlineLevel="0" collapsed="false"/>
    <row r="1046692" customFormat="false" ht="12.8" hidden="false" customHeight="false" outlineLevel="0" collapsed="false"/>
    <row r="1046693" customFormat="false" ht="12.8" hidden="false" customHeight="false" outlineLevel="0" collapsed="false"/>
    <row r="1046694" customFormat="false" ht="12.8" hidden="false" customHeight="false" outlineLevel="0" collapsed="false"/>
    <row r="1046695" customFormat="false" ht="12.8" hidden="false" customHeight="false" outlineLevel="0" collapsed="false"/>
    <row r="1046696" customFormat="false" ht="12.8" hidden="false" customHeight="false" outlineLevel="0" collapsed="false"/>
    <row r="1046697" customFormat="false" ht="12.8" hidden="false" customHeight="false" outlineLevel="0" collapsed="false"/>
    <row r="1046698" customFormat="false" ht="12.8" hidden="false" customHeight="false" outlineLevel="0" collapsed="false"/>
    <row r="1046699" customFormat="false" ht="12.8" hidden="false" customHeight="false" outlineLevel="0" collapsed="false"/>
    <row r="1046700" customFormat="false" ht="12.8" hidden="false" customHeight="false" outlineLevel="0" collapsed="false"/>
    <row r="1046701" customFormat="false" ht="12.8" hidden="false" customHeight="false" outlineLevel="0" collapsed="false"/>
    <row r="1046702" customFormat="false" ht="12.8" hidden="false" customHeight="false" outlineLevel="0" collapsed="false"/>
    <row r="1046703" customFormat="false" ht="12.8" hidden="false" customHeight="false" outlineLevel="0" collapsed="false"/>
    <row r="1046704" customFormat="false" ht="12.8" hidden="false" customHeight="false" outlineLevel="0" collapsed="false"/>
    <row r="1046705" customFormat="false" ht="12.8" hidden="false" customHeight="false" outlineLevel="0" collapsed="false"/>
    <row r="1046706" customFormat="false" ht="12.8" hidden="false" customHeight="false" outlineLevel="0" collapsed="false"/>
    <row r="1046707" customFormat="false" ht="12.8" hidden="false" customHeight="false" outlineLevel="0" collapsed="false"/>
    <row r="1046708" customFormat="false" ht="12.8" hidden="false" customHeight="false" outlineLevel="0" collapsed="false"/>
    <row r="1046709" customFormat="false" ht="12.8" hidden="false" customHeight="false" outlineLevel="0" collapsed="false"/>
    <row r="1046710" customFormat="false" ht="12.8" hidden="false" customHeight="false" outlineLevel="0" collapsed="false"/>
    <row r="1046711" customFormat="false" ht="12.8" hidden="false" customHeight="false" outlineLevel="0" collapsed="false"/>
    <row r="1046712" customFormat="false" ht="12.8" hidden="false" customHeight="false" outlineLevel="0" collapsed="false"/>
    <row r="1046713" customFormat="false" ht="12.8" hidden="false" customHeight="false" outlineLevel="0" collapsed="false"/>
    <row r="1046714" customFormat="false" ht="12.8" hidden="false" customHeight="false" outlineLevel="0" collapsed="false"/>
    <row r="1046715" customFormat="false" ht="12.8" hidden="false" customHeight="false" outlineLevel="0" collapsed="false"/>
    <row r="1046716" customFormat="false" ht="12.8" hidden="false" customHeight="false" outlineLevel="0" collapsed="false"/>
    <row r="1046717" customFormat="false" ht="12.8" hidden="false" customHeight="false" outlineLevel="0" collapsed="false"/>
    <row r="1046718" customFormat="false" ht="12.8" hidden="false" customHeight="false" outlineLevel="0" collapsed="false"/>
    <row r="1046719" customFormat="false" ht="12.8" hidden="false" customHeight="false" outlineLevel="0" collapsed="false"/>
    <row r="1046720" customFormat="false" ht="12.8" hidden="false" customHeight="false" outlineLevel="0" collapsed="false"/>
    <row r="1046721" customFormat="false" ht="12.8" hidden="false" customHeight="false" outlineLevel="0" collapsed="false"/>
    <row r="1046722" customFormat="false" ht="12.8" hidden="false" customHeight="false" outlineLevel="0" collapsed="false"/>
    <row r="1046723" customFormat="false" ht="12.8" hidden="false" customHeight="false" outlineLevel="0" collapsed="false"/>
    <row r="1046724" customFormat="false" ht="12.8" hidden="false" customHeight="false" outlineLevel="0" collapsed="false"/>
    <row r="1046725" customFormat="false" ht="12.8" hidden="false" customHeight="false" outlineLevel="0" collapsed="false"/>
    <row r="1046726" customFormat="false" ht="12.8" hidden="false" customHeight="false" outlineLevel="0" collapsed="false"/>
    <row r="1046727" customFormat="false" ht="12.8" hidden="false" customHeight="false" outlineLevel="0" collapsed="false"/>
    <row r="1046728" customFormat="false" ht="12.8" hidden="false" customHeight="false" outlineLevel="0" collapsed="false"/>
    <row r="1046729" customFormat="false" ht="12.8" hidden="false" customHeight="false" outlineLevel="0" collapsed="false"/>
    <row r="1046730" customFormat="false" ht="12.8" hidden="false" customHeight="false" outlineLevel="0" collapsed="false"/>
    <row r="1046731" customFormat="false" ht="12.8" hidden="false" customHeight="false" outlineLevel="0" collapsed="false"/>
    <row r="1046732" customFormat="false" ht="12.8" hidden="false" customHeight="false" outlineLevel="0" collapsed="false"/>
    <row r="1046733" customFormat="false" ht="12.8" hidden="false" customHeight="false" outlineLevel="0" collapsed="false"/>
    <row r="1046734" customFormat="false" ht="12.8" hidden="false" customHeight="false" outlineLevel="0" collapsed="false"/>
    <row r="1046735" customFormat="false" ht="12.8" hidden="false" customHeight="false" outlineLevel="0" collapsed="false"/>
    <row r="1046736" customFormat="false" ht="12.8" hidden="false" customHeight="false" outlineLevel="0" collapsed="false"/>
    <row r="1046737" customFormat="false" ht="12.8" hidden="false" customHeight="false" outlineLevel="0" collapsed="false"/>
    <row r="1046738" customFormat="false" ht="12.8" hidden="false" customHeight="false" outlineLevel="0" collapsed="false"/>
    <row r="1046739" customFormat="false" ht="12.8" hidden="false" customHeight="false" outlineLevel="0" collapsed="false"/>
    <row r="1046740" customFormat="false" ht="12.8" hidden="false" customHeight="false" outlineLevel="0" collapsed="false"/>
    <row r="1046741" customFormat="false" ht="12.8" hidden="false" customHeight="false" outlineLevel="0" collapsed="false"/>
    <row r="1046742" customFormat="false" ht="12.8" hidden="false" customHeight="false" outlineLevel="0" collapsed="false"/>
    <row r="1046743" customFormat="false" ht="12.8" hidden="false" customHeight="false" outlineLevel="0" collapsed="false"/>
    <row r="1046744" customFormat="false" ht="12.8" hidden="false" customHeight="false" outlineLevel="0" collapsed="false"/>
    <row r="1046745" customFormat="false" ht="12.8" hidden="false" customHeight="false" outlineLevel="0" collapsed="false"/>
    <row r="1046746" customFormat="false" ht="12.8" hidden="false" customHeight="false" outlineLevel="0" collapsed="false"/>
    <row r="1046747" customFormat="false" ht="12.8" hidden="false" customHeight="false" outlineLevel="0" collapsed="false"/>
    <row r="1046748" customFormat="false" ht="12.8" hidden="false" customHeight="false" outlineLevel="0" collapsed="false"/>
    <row r="1046749" customFormat="false" ht="12.8" hidden="false" customHeight="false" outlineLevel="0" collapsed="false"/>
    <row r="1046750" customFormat="false" ht="12.8" hidden="false" customHeight="false" outlineLevel="0" collapsed="false"/>
    <row r="1046751" customFormat="false" ht="12.8" hidden="false" customHeight="false" outlineLevel="0" collapsed="false"/>
    <row r="1046752" customFormat="false" ht="12.8" hidden="false" customHeight="false" outlineLevel="0" collapsed="false"/>
    <row r="1046753" customFormat="false" ht="12.8" hidden="false" customHeight="false" outlineLevel="0" collapsed="false"/>
    <row r="1046754" customFormat="false" ht="12.8" hidden="false" customHeight="false" outlineLevel="0" collapsed="false"/>
    <row r="1046755" customFormat="false" ht="12.8" hidden="false" customHeight="false" outlineLevel="0" collapsed="false"/>
    <row r="1046756" customFormat="false" ht="12.8" hidden="false" customHeight="false" outlineLevel="0" collapsed="false"/>
    <row r="1046757" customFormat="false" ht="12.8" hidden="false" customHeight="false" outlineLevel="0" collapsed="false"/>
    <row r="1046758" customFormat="false" ht="12.8" hidden="false" customHeight="false" outlineLevel="0" collapsed="false"/>
    <row r="1046759" customFormat="false" ht="12.8" hidden="false" customHeight="false" outlineLevel="0" collapsed="false"/>
    <row r="1046760" customFormat="false" ht="12.8" hidden="false" customHeight="false" outlineLevel="0" collapsed="false"/>
    <row r="1046761" customFormat="false" ht="12.8" hidden="false" customHeight="false" outlineLevel="0" collapsed="false"/>
    <row r="1046762" customFormat="false" ht="12.8" hidden="false" customHeight="false" outlineLevel="0" collapsed="false"/>
    <row r="1046763" customFormat="false" ht="12.8" hidden="false" customHeight="false" outlineLevel="0" collapsed="false"/>
    <row r="1046764" customFormat="false" ht="12.8" hidden="false" customHeight="false" outlineLevel="0" collapsed="false"/>
    <row r="1046765" customFormat="false" ht="12.8" hidden="false" customHeight="false" outlineLevel="0" collapsed="false"/>
    <row r="1046766" customFormat="false" ht="12.8" hidden="false" customHeight="false" outlineLevel="0" collapsed="false"/>
    <row r="1046767" customFormat="false" ht="12.8" hidden="false" customHeight="false" outlineLevel="0" collapsed="false"/>
    <row r="1046768" customFormat="false" ht="12.8" hidden="false" customHeight="false" outlineLevel="0" collapsed="false"/>
    <row r="1046769" customFormat="false" ht="12.8" hidden="false" customHeight="false" outlineLevel="0" collapsed="false"/>
    <row r="1046770" customFormat="false" ht="12.8" hidden="false" customHeight="false" outlineLevel="0" collapsed="false"/>
    <row r="1046771" customFormat="false" ht="12.8" hidden="false" customHeight="false" outlineLevel="0" collapsed="false"/>
    <row r="1046772" customFormat="false" ht="12.8" hidden="false" customHeight="false" outlineLevel="0" collapsed="false"/>
    <row r="1046773" customFormat="false" ht="12.8" hidden="false" customHeight="false" outlineLevel="0" collapsed="false"/>
    <row r="1046774" customFormat="false" ht="12.8" hidden="false" customHeight="false" outlineLevel="0" collapsed="false"/>
    <row r="1046775" customFormat="false" ht="12.8" hidden="false" customHeight="false" outlineLevel="0" collapsed="false"/>
    <row r="1046776" customFormat="false" ht="12.8" hidden="false" customHeight="false" outlineLevel="0" collapsed="false"/>
    <row r="1046777" customFormat="false" ht="12.8" hidden="false" customHeight="false" outlineLevel="0" collapsed="false"/>
    <row r="1046778" customFormat="false" ht="12.8" hidden="false" customHeight="false" outlineLevel="0" collapsed="false"/>
    <row r="1046779" customFormat="false" ht="12.8" hidden="false" customHeight="false" outlineLevel="0" collapsed="false"/>
    <row r="1046780" customFormat="false" ht="12.8" hidden="false" customHeight="false" outlineLevel="0" collapsed="false"/>
    <row r="1046781" customFormat="false" ht="12.8" hidden="false" customHeight="false" outlineLevel="0" collapsed="false"/>
    <row r="1046782" customFormat="false" ht="12.8" hidden="false" customHeight="false" outlineLevel="0" collapsed="false"/>
    <row r="1046783" customFormat="false" ht="12.8" hidden="false" customHeight="false" outlineLevel="0" collapsed="false"/>
    <row r="1046784" customFormat="false" ht="12.8" hidden="false" customHeight="false" outlineLevel="0" collapsed="false"/>
    <row r="1046785" customFormat="false" ht="12.8" hidden="false" customHeight="false" outlineLevel="0" collapsed="false"/>
    <row r="1046786" customFormat="false" ht="12.8" hidden="false" customHeight="false" outlineLevel="0" collapsed="false"/>
    <row r="1046787" customFormat="false" ht="12.8" hidden="false" customHeight="false" outlineLevel="0" collapsed="false"/>
    <row r="1046788" customFormat="false" ht="12.8" hidden="false" customHeight="false" outlineLevel="0" collapsed="false"/>
    <row r="1046789" customFormat="false" ht="12.8" hidden="false" customHeight="false" outlineLevel="0" collapsed="false"/>
    <row r="1046790" customFormat="false" ht="12.8" hidden="false" customHeight="false" outlineLevel="0" collapsed="false"/>
    <row r="1046791" customFormat="false" ht="12.8" hidden="false" customHeight="false" outlineLevel="0" collapsed="false"/>
    <row r="1046792" customFormat="false" ht="12.8" hidden="false" customHeight="false" outlineLevel="0" collapsed="false"/>
    <row r="1046793" customFormat="false" ht="12.8" hidden="false" customHeight="false" outlineLevel="0" collapsed="false"/>
    <row r="1046794" customFormat="false" ht="12.8" hidden="false" customHeight="false" outlineLevel="0" collapsed="false"/>
    <row r="1046795" customFormat="false" ht="12.8" hidden="false" customHeight="false" outlineLevel="0" collapsed="false"/>
    <row r="1046796" customFormat="false" ht="12.8" hidden="false" customHeight="false" outlineLevel="0" collapsed="false"/>
    <row r="1046797" customFormat="false" ht="12.8" hidden="false" customHeight="false" outlineLevel="0" collapsed="false"/>
    <row r="1046798" customFormat="false" ht="12.8" hidden="false" customHeight="false" outlineLevel="0" collapsed="false"/>
    <row r="1046799" customFormat="false" ht="12.8" hidden="false" customHeight="false" outlineLevel="0" collapsed="false"/>
    <row r="1046800" customFormat="false" ht="12.8" hidden="false" customHeight="false" outlineLevel="0" collapsed="false"/>
    <row r="1046801" customFormat="false" ht="12.8" hidden="false" customHeight="false" outlineLevel="0" collapsed="false"/>
    <row r="1046802" customFormat="false" ht="12.8" hidden="false" customHeight="false" outlineLevel="0" collapsed="false"/>
    <row r="1046803" customFormat="false" ht="12.8" hidden="false" customHeight="false" outlineLevel="0" collapsed="false"/>
    <row r="1046804" customFormat="false" ht="12.8" hidden="false" customHeight="false" outlineLevel="0" collapsed="false"/>
    <row r="1046805" customFormat="false" ht="12.8" hidden="false" customHeight="false" outlineLevel="0" collapsed="false"/>
    <row r="1046806" customFormat="false" ht="12.8" hidden="false" customHeight="false" outlineLevel="0" collapsed="false"/>
    <row r="1046807" customFormat="false" ht="12.8" hidden="false" customHeight="false" outlineLevel="0" collapsed="false"/>
    <row r="1046808" customFormat="false" ht="12.8" hidden="false" customHeight="false" outlineLevel="0" collapsed="false"/>
    <row r="1046809" customFormat="false" ht="12.8" hidden="false" customHeight="false" outlineLevel="0" collapsed="false"/>
    <row r="1046810" customFormat="false" ht="12.8" hidden="false" customHeight="false" outlineLevel="0" collapsed="false"/>
    <row r="1046811" customFormat="false" ht="12.8" hidden="false" customHeight="false" outlineLevel="0" collapsed="false"/>
    <row r="1046812" customFormat="false" ht="12.8" hidden="false" customHeight="false" outlineLevel="0" collapsed="false"/>
    <row r="1046813" customFormat="false" ht="12.8" hidden="false" customHeight="false" outlineLevel="0" collapsed="false"/>
    <row r="1046814" customFormat="false" ht="12.8" hidden="false" customHeight="false" outlineLevel="0" collapsed="false"/>
    <row r="1046815" customFormat="false" ht="12.8" hidden="false" customHeight="false" outlineLevel="0" collapsed="false"/>
    <row r="1046816" customFormat="false" ht="12.8" hidden="false" customHeight="false" outlineLevel="0" collapsed="false"/>
    <row r="1046817" customFormat="false" ht="12.8" hidden="false" customHeight="false" outlineLevel="0" collapsed="false"/>
    <row r="1046818" customFormat="false" ht="12.8" hidden="false" customHeight="false" outlineLevel="0" collapsed="false"/>
    <row r="1046819" customFormat="false" ht="12.8" hidden="false" customHeight="false" outlineLevel="0" collapsed="false"/>
    <row r="1046820" customFormat="false" ht="12.8" hidden="false" customHeight="false" outlineLevel="0" collapsed="false"/>
    <row r="1046821" customFormat="false" ht="12.8" hidden="false" customHeight="false" outlineLevel="0" collapsed="false"/>
    <row r="1046822" customFormat="false" ht="12.8" hidden="false" customHeight="false" outlineLevel="0" collapsed="false"/>
    <row r="1046823" customFormat="false" ht="12.8" hidden="false" customHeight="false" outlineLevel="0" collapsed="false"/>
    <row r="1046824" customFormat="false" ht="12.8" hidden="false" customHeight="false" outlineLevel="0" collapsed="false"/>
    <row r="1046825" customFormat="false" ht="12.8" hidden="false" customHeight="false" outlineLevel="0" collapsed="false"/>
    <row r="1046826" customFormat="false" ht="12.8" hidden="false" customHeight="false" outlineLevel="0" collapsed="false"/>
    <row r="1046827" customFormat="false" ht="12.8" hidden="false" customHeight="false" outlineLevel="0" collapsed="false"/>
    <row r="1046828" customFormat="false" ht="12.8" hidden="false" customHeight="false" outlineLevel="0" collapsed="false"/>
    <row r="1046829" customFormat="false" ht="12.8" hidden="false" customHeight="false" outlineLevel="0" collapsed="false"/>
    <row r="1046830" customFormat="false" ht="12.8" hidden="false" customHeight="false" outlineLevel="0" collapsed="false"/>
    <row r="1046831" customFormat="false" ht="12.8" hidden="false" customHeight="false" outlineLevel="0" collapsed="false"/>
    <row r="1046832" customFormat="false" ht="12.8" hidden="false" customHeight="false" outlineLevel="0" collapsed="false"/>
    <row r="1046833" customFormat="false" ht="12.8" hidden="false" customHeight="false" outlineLevel="0" collapsed="false"/>
    <row r="1046834" customFormat="false" ht="12.8" hidden="false" customHeight="false" outlineLevel="0" collapsed="false"/>
    <row r="1046835" customFormat="false" ht="12.8" hidden="false" customHeight="false" outlineLevel="0" collapsed="false"/>
    <row r="1046836" customFormat="false" ht="12.8" hidden="false" customHeight="false" outlineLevel="0" collapsed="false"/>
    <row r="1046837" customFormat="false" ht="12.8" hidden="false" customHeight="false" outlineLevel="0" collapsed="false"/>
    <row r="1046838" customFormat="false" ht="12.8" hidden="false" customHeight="false" outlineLevel="0" collapsed="false"/>
    <row r="1046839" customFormat="false" ht="12.8" hidden="false" customHeight="false" outlineLevel="0" collapsed="false"/>
    <row r="1046840" customFormat="false" ht="12.8" hidden="false" customHeight="false" outlineLevel="0" collapsed="false"/>
    <row r="1046841" customFormat="false" ht="12.8" hidden="false" customHeight="false" outlineLevel="0" collapsed="false"/>
    <row r="1046842" customFormat="false" ht="12.8" hidden="false" customHeight="false" outlineLevel="0" collapsed="false"/>
    <row r="1046843" customFormat="false" ht="12.8" hidden="false" customHeight="false" outlineLevel="0" collapsed="false"/>
    <row r="1046844" customFormat="false" ht="12.8" hidden="false" customHeight="false" outlineLevel="0" collapsed="false"/>
    <row r="1046845" customFormat="false" ht="12.8" hidden="false" customHeight="false" outlineLevel="0" collapsed="false"/>
    <row r="1046846" customFormat="false" ht="12.8" hidden="false" customHeight="false" outlineLevel="0" collapsed="false"/>
    <row r="1046847" customFormat="false" ht="12.8" hidden="false" customHeight="false" outlineLevel="0" collapsed="false"/>
    <row r="1046848" customFormat="false" ht="12.8" hidden="false" customHeight="false" outlineLevel="0" collapsed="false"/>
    <row r="1046849" customFormat="false" ht="12.8" hidden="false" customHeight="false" outlineLevel="0" collapsed="false"/>
    <row r="1046850" customFormat="false" ht="12.8" hidden="false" customHeight="false" outlineLevel="0" collapsed="false"/>
    <row r="1046851" customFormat="false" ht="12.8" hidden="false" customHeight="false" outlineLevel="0" collapsed="false"/>
    <row r="1046852" customFormat="false" ht="12.8" hidden="false" customHeight="false" outlineLevel="0" collapsed="false"/>
    <row r="1046853" customFormat="false" ht="12.8" hidden="false" customHeight="false" outlineLevel="0" collapsed="false"/>
    <row r="1046854" customFormat="false" ht="12.8" hidden="false" customHeight="false" outlineLevel="0" collapsed="false"/>
    <row r="1046855" customFormat="false" ht="12.8" hidden="false" customHeight="false" outlineLevel="0" collapsed="false"/>
    <row r="1046856" customFormat="false" ht="12.8" hidden="false" customHeight="false" outlineLevel="0" collapsed="false"/>
    <row r="1046857" customFormat="false" ht="12.8" hidden="false" customHeight="false" outlineLevel="0" collapsed="false"/>
    <row r="1046858" customFormat="false" ht="12.8" hidden="false" customHeight="false" outlineLevel="0" collapsed="false"/>
    <row r="1046859" customFormat="false" ht="12.8" hidden="false" customHeight="false" outlineLevel="0" collapsed="false"/>
    <row r="1046860" customFormat="false" ht="12.8" hidden="false" customHeight="false" outlineLevel="0" collapsed="false"/>
    <row r="1046861" customFormat="false" ht="12.8" hidden="false" customHeight="false" outlineLevel="0" collapsed="false"/>
    <row r="1046862" customFormat="false" ht="12.8" hidden="false" customHeight="false" outlineLevel="0" collapsed="false"/>
    <row r="1046863" customFormat="false" ht="12.8" hidden="false" customHeight="false" outlineLevel="0" collapsed="false"/>
    <row r="1046864" customFormat="false" ht="12.8" hidden="false" customHeight="false" outlineLevel="0" collapsed="false"/>
    <row r="1046865" customFormat="false" ht="12.8" hidden="false" customHeight="false" outlineLevel="0" collapsed="false"/>
    <row r="1046866" customFormat="false" ht="12.8" hidden="false" customHeight="false" outlineLevel="0" collapsed="false"/>
    <row r="1046867" customFormat="false" ht="12.8" hidden="false" customHeight="false" outlineLevel="0" collapsed="false"/>
    <row r="1046868" customFormat="false" ht="12.8" hidden="false" customHeight="false" outlineLevel="0" collapsed="false"/>
    <row r="1046869" customFormat="false" ht="12.8" hidden="false" customHeight="false" outlineLevel="0" collapsed="false"/>
    <row r="1046870" customFormat="false" ht="12.8" hidden="false" customHeight="false" outlineLevel="0" collapsed="false"/>
    <row r="1046871" customFormat="false" ht="12.8" hidden="false" customHeight="false" outlineLevel="0" collapsed="false"/>
    <row r="1046872" customFormat="false" ht="12.8" hidden="false" customHeight="false" outlineLevel="0" collapsed="false"/>
    <row r="1046873" customFormat="false" ht="12.8" hidden="false" customHeight="false" outlineLevel="0" collapsed="false"/>
    <row r="1046874" customFormat="false" ht="12.8" hidden="false" customHeight="false" outlineLevel="0" collapsed="false"/>
    <row r="1046875" customFormat="false" ht="12.8" hidden="false" customHeight="false" outlineLevel="0" collapsed="false"/>
    <row r="1046876" customFormat="false" ht="12.8" hidden="false" customHeight="false" outlineLevel="0" collapsed="false"/>
    <row r="1046877" customFormat="false" ht="12.8" hidden="false" customHeight="false" outlineLevel="0" collapsed="false"/>
    <row r="1046878" customFormat="false" ht="12.8" hidden="false" customHeight="false" outlineLevel="0" collapsed="false"/>
    <row r="1046879" customFormat="false" ht="12.8" hidden="false" customHeight="false" outlineLevel="0" collapsed="false"/>
    <row r="1046880" customFormat="false" ht="12.8" hidden="false" customHeight="false" outlineLevel="0" collapsed="false"/>
    <row r="1046881" customFormat="false" ht="12.8" hidden="false" customHeight="false" outlineLevel="0" collapsed="false"/>
    <row r="1046882" customFormat="false" ht="12.8" hidden="false" customHeight="false" outlineLevel="0" collapsed="false"/>
    <row r="1046883" customFormat="false" ht="12.8" hidden="false" customHeight="false" outlineLevel="0" collapsed="false"/>
    <row r="1046884" customFormat="false" ht="12.8" hidden="false" customHeight="false" outlineLevel="0" collapsed="false"/>
    <row r="1046885" customFormat="false" ht="12.8" hidden="false" customHeight="false" outlineLevel="0" collapsed="false"/>
    <row r="1046886" customFormat="false" ht="12.8" hidden="false" customHeight="false" outlineLevel="0" collapsed="false"/>
    <row r="1046887" customFormat="false" ht="12.8" hidden="false" customHeight="false" outlineLevel="0" collapsed="false"/>
    <row r="1046888" customFormat="false" ht="12.8" hidden="false" customHeight="false" outlineLevel="0" collapsed="false"/>
    <row r="1046889" customFormat="false" ht="12.8" hidden="false" customHeight="false" outlineLevel="0" collapsed="false"/>
    <row r="1046890" customFormat="false" ht="12.8" hidden="false" customHeight="false" outlineLevel="0" collapsed="false"/>
    <row r="1046891" customFormat="false" ht="12.8" hidden="false" customHeight="false" outlineLevel="0" collapsed="false"/>
    <row r="1046892" customFormat="false" ht="12.8" hidden="false" customHeight="false" outlineLevel="0" collapsed="false"/>
    <row r="1046893" customFormat="false" ht="12.8" hidden="false" customHeight="false" outlineLevel="0" collapsed="false"/>
    <row r="1046894" customFormat="false" ht="12.8" hidden="false" customHeight="false" outlineLevel="0" collapsed="false"/>
    <row r="1046895" customFormat="false" ht="12.8" hidden="false" customHeight="false" outlineLevel="0" collapsed="false"/>
    <row r="1046896" customFormat="false" ht="12.8" hidden="false" customHeight="false" outlineLevel="0" collapsed="false"/>
    <row r="1046897" customFormat="false" ht="12.8" hidden="false" customHeight="false" outlineLevel="0" collapsed="false"/>
    <row r="1046898" customFormat="false" ht="12.8" hidden="false" customHeight="false" outlineLevel="0" collapsed="false"/>
    <row r="1046899" customFormat="false" ht="12.8" hidden="false" customHeight="false" outlineLevel="0" collapsed="false"/>
    <row r="1046900" customFormat="false" ht="12.8" hidden="false" customHeight="false" outlineLevel="0" collapsed="false"/>
    <row r="1046901" customFormat="false" ht="12.8" hidden="false" customHeight="false" outlineLevel="0" collapsed="false"/>
    <row r="1046902" customFormat="false" ht="12.8" hidden="false" customHeight="false" outlineLevel="0" collapsed="false"/>
    <row r="1046903" customFormat="false" ht="12.8" hidden="false" customHeight="false" outlineLevel="0" collapsed="false"/>
    <row r="1046904" customFormat="false" ht="12.8" hidden="false" customHeight="false" outlineLevel="0" collapsed="false"/>
    <row r="1046905" customFormat="false" ht="12.8" hidden="false" customHeight="false" outlineLevel="0" collapsed="false"/>
    <row r="1046906" customFormat="false" ht="12.8" hidden="false" customHeight="false" outlineLevel="0" collapsed="false"/>
    <row r="1046907" customFormat="false" ht="12.8" hidden="false" customHeight="false" outlineLevel="0" collapsed="false"/>
    <row r="1046908" customFormat="false" ht="12.8" hidden="false" customHeight="false" outlineLevel="0" collapsed="false"/>
    <row r="1046909" customFormat="false" ht="12.8" hidden="false" customHeight="false" outlineLevel="0" collapsed="false"/>
    <row r="1046910" customFormat="false" ht="12.8" hidden="false" customHeight="false" outlineLevel="0" collapsed="false"/>
    <row r="1046911" customFormat="false" ht="12.8" hidden="false" customHeight="false" outlineLevel="0" collapsed="false"/>
    <row r="1046912" customFormat="false" ht="12.8" hidden="false" customHeight="false" outlineLevel="0" collapsed="false"/>
    <row r="1046913" customFormat="false" ht="12.8" hidden="false" customHeight="false" outlineLevel="0" collapsed="false"/>
    <row r="1046914" customFormat="false" ht="12.8" hidden="false" customHeight="false" outlineLevel="0" collapsed="false"/>
    <row r="1046915" customFormat="false" ht="12.8" hidden="false" customHeight="false" outlineLevel="0" collapsed="false"/>
    <row r="1046916" customFormat="false" ht="12.8" hidden="false" customHeight="false" outlineLevel="0" collapsed="false"/>
    <row r="1046917" customFormat="false" ht="12.8" hidden="false" customHeight="false" outlineLevel="0" collapsed="false"/>
    <row r="1046918" customFormat="false" ht="12.8" hidden="false" customHeight="false" outlineLevel="0" collapsed="false"/>
    <row r="1046919" customFormat="false" ht="12.8" hidden="false" customHeight="false" outlineLevel="0" collapsed="false"/>
    <row r="1046920" customFormat="false" ht="12.8" hidden="false" customHeight="false" outlineLevel="0" collapsed="false"/>
    <row r="1046921" customFormat="false" ht="12.8" hidden="false" customHeight="false" outlineLevel="0" collapsed="false"/>
    <row r="1046922" customFormat="false" ht="12.8" hidden="false" customHeight="false" outlineLevel="0" collapsed="false"/>
    <row r="1046923" customFormat="false" ht="12.8" hidden="false" customHeight="false" outlineLevel="0" collapsed="false"/>
    <row r="1046924" customFormat="false" ht="12.8" hidden="false" customHeight="false" outlineLevel="0" collapsed="false"/>
    <row r="1046925" customFormat="false" ht="12.8" hidden="false" customHeight="false" outlineLevel="0" collapsed="false"/>
    <row r="1046926" customFormat="false" ht="12.8" hidden="false" customHeight="false" outlineLevel="0" collapsed="false"/>
    <row r="1046927" customFormat="false" ht="12.8" hidden="false" customHeight="false" outlineLevel="0" collapsed="false"/>
    <row r="1046928" customFormat="false" ht="12.8" hidden="false" customHeight="false" outlineLevel="0" collapsed="false"/>
    <row r="1046929" customFormat="false" ht="12.8" hidden="false" customHeight="false" outlineLevel="0" collapsed="false"/>
    <row r="1046930" customFormat="false" ht="12.8" hidden="false" customHeight="false" outlineLevel="0" collapsed="false"/>
    <row r="1046931" customFormat="false" ht="12.8" hidden="false" customHeight="false" outlineLevel="0" collapsed="false"/>
    <row r="1046932" customFormat="false" ht="12.8" hidden="false" customHeight="false" outlineLevel="0" collapsed="false"/>
    <row r="1046933" customFormat="false" ht="12.8" hidden="false" customHeight="false" outlineLevel="0" collapsed="false"/>
    <row r="1046934" customFormat="false" ht="12.8" hidden="false" customHeight="false" outlineLevel="0" collapsed="false"/>
    <row r="1046935" customFormat="false" ht="12.8" hidden="false" customHeight="false" outlineLevel="0" collapsed="false"/>
    <row r="1046936" customFormat="false" ht="12.8" hidden="false" customHeight="false" outlineLevel="0" collapsed="false"/>
    <row r="1046937" customFormat="false" ht="12.8" hidden="false" customHeight="false" outlineLevel="0" collapsed="false"/>
    <row r="1046938" customFormat="false" ht="12.8" hidden="false" customHeight="false" outlineLevel="0" collapsed="false"/>
    <row r="1046939" customFormat="false" ht="12.8" hidden="false" customHeight="false" outlineLevel="0" collapsed="false"/>
    <row r="1046940" customFormat="false" ht="12.8" hidden="false" customHeight="false" outlineLevel="0" collapsed="false"/>
    <row r="1046941" customFormat="false" ht="12.8" hidden="false" customHeight="false" outlineLevel="0" collapsed="false"/>
    <row r="1046942" customFormat="false" ht="12.8" hidden="false" customHeight="false" outlineLevel="0" collapsed="false"/>
    <row r="1046943" customFormat="false" ht="12.8" hidden="false" customHeight="false" outlineLevel="0" collapsed="false"/>
    <row r="1046944" customFormat="false" ht="12.8" hidden="false" customHeight="false" outlineLevel="0" collapsed="false"/>
    <row r="1046945" customFormat="false" ht="12.8" hidden="false" customHeight="false" outlineLevel="0" collapsed="false"/>
    <row r="1046946" customFormat="false" ht="12.8" hidden="false" customHeight="false" outlineLevel="0" collapsed="false"/>
    <row r="1046947" customFormat="false" ht="12.8" hidden="false" customHeight="false" outlineLevel="0" collapsed="false"/>
    <row r="1046948" customFormat="false" ht="12.8" hidden="false" customHeight="false" outlineLevel="0" collapsed="false"/>
    <row r="1046949" customFormat="false" ht="12.8" hidden="false" customHeight="false" outlineLevel="0" collapsed="false"/>
    <row r="1046950" customFormat="false" ht="12.8" hidden="false" customHeight="false" outlineLevel="0" collapsed="false"/>
    <row r="1046951" customFormat="false" ht="12.8" hidden="false" customHeight="false" outlineLevel="0" collapsed="false"/>
    <row r="1046952" customFormat="false" ht="12.8" hidden="false" customHeight="false" outlineLevel="0" collapsed="false"/>
    <row r="1046953" customFormat="false" ht="12.8" hidden="false" customHeight="false" outlineLevel="0" collapsed="false"/>
    <row r="1046954" customFormat="false" ht="12.8" hidden="false" customHeight="false" outlineLevel="0" collapsed="false"/>
    <row r="1046955" customFormat="false" ht="12.8" hidden="false" customHeight="false" outlineLevel="0" collapsed="false"/>
    <row r="1046956" customFormat="false" ht="12.8" hidden="false" customHeight="false" outlineLevel="0" collapsed="false"/>
    <row r="1046957" customFormat="false" ht="12.8" hidden="false" customHeight="false" outlineLevel="0" collapsed="false"/>
    <row r="1046958" customFormat="false" ht="12.8" hidden="false" customHeight="false" outlineLevel="0" collapsed="false"/>
    <row r="1046959" customFormat="false" ht="12.8" hidden="false" customHeight="false" outlineLevel="0" collapsed="false"/>
    <row r="1046960" customFormat="false" ht="12.8" hidden="false" customHeight="false" outlineLevel="0" collapsed="false"/>
    <row r="1046961" customFormat="false" ht="12.8" hidden="false" customHeight="false" outlineLevel="0" collapsed="false"/>
    <row r="1046962" customFormat="false" ht="12.8" hidden="false" customHeight="false" outlineLevel="0" collapsed="false"/>
    <row r="1046963" customFormat="false" ht="12.8" hidden="false" customHeight="false" outlineLevel="0" collapsed="false"/>
    <row r="1046964" customFormat="false" ht="12.8" hidden="false" customHeight="false" outlineLevel="0" collapsed="false"/>
    <row r="1046965" customFormat="false" ht="12.8" hidden="false" customHeight="false" outlineLevel="0" collapsed="false"/>
    <row r="1046966" customFormat="false" ht="12.8" hidden="false" customHeight="false" outlineLevel="0" collapsed="false"/>
    <row r="1046967" customFormat="false" ht="12.8" hidden="false" customHeight="false" outlineLevel="0" collapsed="false"/>
    <row r="1046968" customFormat="false" ht="12.8" hidden="false" customHeight="false" outlineLevel="0" collapsed="false"/>
    <row r="1046969" customFormat="false" ht="12.8" hidden="false" customHeight="false" outlineLevel="0" collapsed="false"/>
    <row r="1046970" customFormat="false" ht="12.8" hidden="false" customHeight="false" outlineLevel="0" collapsed="false"/>
    <row r="1046971" customFormat="false" ht="12.8" hidden="false" customHeight="false" outlineLevel="0" collapsed="false"/>
    <row r="1046972" customFormat="false" ht="12.8" hidden="false" customHeight="false" outlineLevel="0" collapsed="false"/>
    <row r="1046973" customFormat="false" ht="12.8" hidden="false" customHeight="false" outlineLevel="0" collapsed="false"/>
    <row r="1046974" customFormat="false" ht="12.8" hidden="false" customHeight="false" outlineLevel="0" collapsed="false"/>
    <row r="1046975" customFormat="false" ht="12.8" hidden="false" customHeight="false" outlineLevel="0" collapsed="false"/>
    <row r="1046976" customFormat="false" ht="12.8" hidden="false" customHeight="false" outlineLevel="0" collapsed="false"/>
    <row r="1046977" customFormat="false" ht="12.8" hidden="false" customHeight="false" outlineLevel="0" collapsed="false"/>
    <row r="1046978" customFormat="false" ht="12.8" hidden="false" customHeight="false" outlineLevel="0" collapsed="false"/>
    <row r="1046979" customFormat="false" ht="12.8" hidden="false" customHeight="false" outlineLevel="0" collapsed="false"/>
    <row r="1046980" customFormat="false" ht="12.8" hidden="false" customHeight="false" outlineLevel="0" collapsed="false"/>
    <row r="1046981" customFormat="false" ht="12.8" hidden="false" customHeight="false" outlineLevel="0" collapsed="false"/>
    <row r="1046982" customFormat="false" ht="12.8" hidden="false" customHeight="false" outlineLevel="0" collapsed="false"/>
    <row r="1046983" customFormat="false" ht="12.8" hidden="false" customHeight="false" outlineLevel="0" collapsed="false"/>
    <row r="1046984" customFormat="false" ht="12.8" hidden="false" customHeight="false" outlineLevel="0" collapsed="false"/>
    <row r="1046985" customFormat="false" ht="12.8" hidden="false" customHeight="false" outlineLevel="0" collapsed="false"/>
    <row r="1046986" customFormat="false" ht="12.8" hidden="false" customHeight="false" outlineLevel="0" collapsed="false"/>
    <row r="1046987" customFormat="false" ht="12.8" hidden="false" customHeight="false" outlineLevel="0" collapsed="false"/>
    <row r="1046988" customFormat="false" ht="12.8" hidden="false" customHeight="false" outlineLevel="0" collapsed="false"/>
    <row r="1046989" customFormat="false" ht="12.8" hidden="false" customHeight="false" outlineLevel="0" collapsed="false"/>
    <row r="1046990" customFormat="false" ht="12.8" hidden="false" customHeight="false" outlineLevel="0" collapsed="false"/>
    <row r="1046991" customFormat="false" ht="12.8" hidden="false" customHeight="false" outlineLevel="0" collapsed="false"/>
    <row r="1046992" customFormat="false" ht="12.8" hidden="false" customHeight="false" outlineLevel="0" collapsed="false"/>
    <row r="1046993" customFormat="false" ht="12.8" hidden="false" customHeight="false" outlineLevel="0" collapsed="false"/>
    <row r="1046994" customFormat="false" ht="12.8" hidden="false" customHeight="false" outlineLevel="0" collapsed="false"/>
    <row r="1046995" customFormat="false" ht="12.8" hidden="false" customHeight="false" outlineLevel="0" collapsed="false"/>
    <row r="1046996" customFormat="false" ht="12.8" hidden="false" customHeight="false" outlineLevel="0" collapsed="false"/>
    <row r="1046997" customFormat="false" ht="12.8" hidden="false" customHeight="false" outlineLevel="0" collapsed="false"/>
    <row r="1046998" customFormat="false" ht="12.8" hidden="false" customHeight="false" outlineLevel="0" collapsed="false"/>
    <row r="1046999" customFormat="false" ht="12.8" hidden="false" customHeight="false" outlineLevel="0" collapsed="false"/>
    <row r="1047000" customFormat="false" ht="12.8" hidden="false" customHeight="false" outlineLevel="0" collapsed="false"/>
    <row r="1047001" customFormat="false" ht="12.8" hidden="false" customHeight="false" outlineLevel="0" collapsed="false"/>
    <row r="1047002" customFormat="false" ht="12.8" hidden="false" customHeight="false" outlineLevel="0" collapsed="false"/>
    <row r="1047003" customFormat="false" ht="12.8" hidden="false" customHeight="false" outlineLevel="0" collapsed="false"/>
    <row r="1047004" customFormat="false" ht="12.8" hidden="false" customHeight="false" outlineLevel="0" collapsed="false"/>
    <row r="1047005" customFormat="false" ht="12.8" hidden="false" customHeight="false" outlineLevel="0" collapsed="false"/>
    <row r="1047006" customFormat="false" ht="12.8" hidden="false" customHeight="false" outlineLevel="0" collapsed="false"/>
    <row r="1047007" customFormat="false" ht="12.8" hidden="false" customHeight="false" outlineLevel="0" collapsed="false"/>
    <row r="1047008" customFormat="false" ht="12.8" hidden="false" customHeight="false" outlineLevel="0" collapsed="false"/>
    <row r="1047009" customFormat="false" ht="12.8" hidden="false" customHeight="false" outlineLevel="0" collapsed="false"/>
    <row r="1047010" customFormat="false" ht="12.8" hidden="false" customHeight="false" outlineLevel="0" collapsed="false"/>
    <row r="1047011" customFormat="false" ht="12.8" hidden="false" customHeight="false" outlineLevel="0" collapsed="false"/>
    <row r="1047012" customFormat="false" ht="12.8" hidden="false" customHeight="false" outlineLevel="0" collapsed="false"/>
    <row r="1047013" customFormat="false" ht="12.8" hidden="false" customHeight="false" outlineLevel="0" collapsed="false"/>
    <row r="1047014" customFormat="false" ht="12.8" hidden="false" customHeight="false" outlineLevel="0" collapsed="false"/>
    <row r="1047015" customFormat="false" ht="12.8" hidden="false" customHeight="false" outlineLevel="0" collapsed="false"/>
    <row r="1047016" customFormat="false" ht="12.8" hidden="false" customHeight="false" outlineLevel="0" collapsed="false"/>
    <row r="1047017" customFormat="false" ht="12.8" hidden="false" customHeight="false" outlineLevel="0" collapsed="false"/>
    <row r="1047018" customFormat="false" ht="12.8" hidden="false" customHeight="false" outlineLevel="0" collapsed="false"/>
    <row r="1047019" customFormat="false" ht="12.8" hidden="false" customHeight="false" outlineLevel="0" collapsed="false"/>
    <row r="1047020" customFormat="false" ht="12.8" hidden="false" customHeight="false" outlineLevel="0" collapsed="false"/>
    <row r="1047021" customFormat="false" ht="12.8" hidden="false" customHeight="false" outlineLevel="0" collapsed="false"/>
    <row r="1047022" customFormat="false" ht="12.8" hidden="false" customHeight="false" outlineLevel="0" collapsed="false"/>
    <row r="1047023" customFormat="false" ht="12.8" hidden="false" customHeight="false" outlineLevel="0" collapsed="false"/>
    <row r="1047024" customFormat="false" ht="12.8" hidden="false" customHeight="false" outlineLevel="0" collapsed="false"/>
    <row r="1047025" customFormat="false" ht="12.8" hidden="false" customHeight="false" outlineLevel="0" collapsed="false"/>
    <row r="1047026" customFormat="false" ht="12.8" hidden="false" customHeight="false" outlineLevel="0" collapsed="false"/>
    <row r="1047027" customFormat="false" ht="12.8" hidden="false" customHeight="false" outlineLevel="0" collapsed="false"/>
    <row r="1047028" customFormat="false" ht="12.8" hidden="false" customHeight="false" outlineLevel="0" collapsed="false"/>
    <row r="1047029" customFormat="false" ht="12.8" hidden="false" customHeight="false" outlineLevel="0" collapsed="false"/>
    <row r="1047030" customFormat="false" ht="12.8" hidden="false" customHeight="false" outlineLevel="0" collapsed="false"/>
    <row r="1047031" customFormat="false" ht="12.8" hidden="false" customHeight="false" outlineLevel="0" collapsed="false"/>
    <row r="1047032" customFormat="false" ht="12.8" hidden="false" customHeight="false" outlineLevel="0" collapsed="false"/>
    <row r="1047033" customFormat="false" ht="12.8" hidden="false" customHeight="false" outlineLevel="0" collapsed="false"/>
    <row r="1047034" customFormat="false" ht="12.8" hidden="false" customHeight="false" outlineLevel="0" collapsed="false"/>
    <row r="1047035" customFormat="false" ht="12.8" hidden="false" customHeight="false" outlineLevel="0" collapsed="false"/>
    <row r="1047036" customFormat="false" ht="12.8" hidden="false" customHeight="false" outlineLevel="0" collapsed="false"/>
    <row r="1047037" customFormat="false" ht="12.8" hidden="false" customHeight="false" outlineLevel="0" collapsed="false"/>
    <row r="1047038" customFormat="false" ht="12.8" hidden="false" customHeight="false" outlineLevel="0" collapsed="false"/>
    <row r="1047039" customFormat="false" ht="12.8" hidden="false" customHeight="false" outlineLevel="0" collapsed="false"/>
    <row r="1047040" customFormat="false" ht="12.8" hidden="false" customHeight="false" outlineLevel="0" collapsed="false"/>
    <row r="1047041" customFormat="false" ht="12.8" hidden="false" customHeight="false" outlineLevel="0" collapsed="false"/>
    <row r="1047042" customFormat="false" ht="12.8" hidden="false" customHeight="false" outlineLevel="0" collapsed="false"/>
    <row r="1047043" customFormat="false" ht="12.8" hidden="false" customHeight="false" outlineLevel="0" collapsed="false"/>
    <row r="1047044" customFormat="false" ht="12.8" hidden="false" customHeight="false" outlineLevel="0" collapsed="false"/>
    <row r="1047045" customFormat="false" ht="12.8" hidden="false" customHeight="false" outlineLevel="0" collapsed="false"/>
    <row r="1047046" customFormat="false" ht="12.8" hidden="false" customHeight="false" outlineLevel="0" collapsed="false"/>
    <row r="1047047" customFormat="false" ht="12.8" hidden="false" customHeight="false" outlineLevel="0" collapsed="false"/>
    <row r="1047048" customFormat="false" ht="12.8" hidden="false" customHeight="false" outlineLevel="0" collapsed="false"/>
    <row r="1047049" customFormat="false" ht="12.8" hidden="false" customHeight="false" outlineLevel="0" collapsed="false"/>
    <row r="1047050" customFormat="false" ht="12.8" hidden="false" customHeight="false" outlineLevel="0" collapsed="false"/>
    <row r="1047051" customFormat="false" ht="12.8" hidden="false" customHeight="false" outlineLevel="0" collapsed="false"/>
    <row r="1047052" customFormat="false" ht="12.8" hidden="false" customHeight="false" outlineLevel="0" collapsed="false"/>
    <row r="1047053" customFormat="false" ht="12.8" hidden="false" customHeight="false" outlineLevel="0" collapsed="false"/>
    <row r="1047054" customFormat="false" ht="12.8" hidden="false" customHeight="false" outlineLevel="0" collapsed="false"/>
    <row r="1047055" customFormat="false" ht="12.8" hidden="false" customHeight="false" outlineLevel="0" collapsed="false"/>
    <row r="1047056" customFormat="false" ht="12.8" hidden="false" customHeight="false" outlineLevel="0" collapsed="false"/>
    <row r="1047057" customFormat="false" ht="12.8" hidden="false" customHeight="false" outlineLevel="0" collapsed="false"/>
    <row r="1047058" customFormat="false" ht="12.8" hidden="false" customHeight="false" outlineLevel="0" collapsed="false"/>
    <row r="1047059" customFormat="false" ht="12.8" hidden="false" customHeight="false" outlineLevel="0" collapsed="false"/>
    <row r="1047060" customFormat="false" ht="12.8" hidden="false" customHeight="false" outlineLevel="0" collapsed="false"/>
    <row r="1047061" customFormat="false" ht="12.8" hidden="false" customHeight="false" outlineLevel="0" collapsed="false"/>
    <row r="1047062" customFormat="false" ht="12.8" hidden="false" customHeight="false" outlineLevel="0" collapsed="false"/>
    <row r="1047063" customFormat="false" ht="12.8" hidden="false" customHeight="false" outlineLevel="0" collapsed="false"/>
    <row r="1047064" customFormat="false" ht="12.8" hidden="false" customHeight="false" outlineLevel="0" collapsed="false"/>
    <row r="1047065" customFormat="false" ht="12.8" hidden="false" customHeight="false" outlineLevel="0" collapsed="false"/>
    <row r="1047066" customFormat="false" ht="12.8" hidden="false" customHeight="false" outlineLevel="0" collapsed="false"/>
    <row r="1047067" customFormat="false" ht="12.8" hidden="false" customHeight="false" outlineLevel="0" collapsed="false"/>
    <row r="1047068" customFormat="false" ht="12.8" hidden="false" customHeight="false" outlineLevel="0" collapsed="false"/>
    <row r="1047069" customFormat="false" ht="12.8" hidden="false" customHeight="false" outlineLevel="0" collapsed="false"/>
    <row r="1047070" customFormat="false" ht="12.8" hidden="false" customHeight="false" outlineLevel="0" collapsed="false"/>
    <row r="1047071" customFormat="false" ht="12.8" hidden="false" customHeight="false" outlineLevel="0" collapsed="false"/>
    <row r="1047072" customFormat="false" ht="12.8" hidden="false" customHeight="false" outlineLevel="0" collapsed="false"/>
    <row r="1047073" customFormat="false" ht="12.8" hidden="false" customHeight="false" outlineLevel="0" collapsed="false"/>
    <row r="1047074" customFormat="false" ht="12.8" hidden="false" customHeight="false" outlineLevel="0" collapsed="false"/>
    <row r="1047075" customFormat="false" ht="12.8" hidden="false" customHeight="false" outlineLevel="0" collapsed="false"/>
    <row r="1047076" customFormat="false" ht="12.8" hidden="false" customHeight="false" outlineLevel="0" collapsed="false"/>
    <row r="1047077" customFormat="false" ht="12.8" hidden="false" customHeight="false" outlineLevel="0" collapsed="false"/>
    <row r="1047078" customFormat="false" ht="12.8" hidden="false" customHeight="false" outlineLevel="0" collapsed="false"/>
    <row r="1047079" customFormat="false" ht="12.8" hidden="false" customHeight="false" outlineLevel="0" collapsed="false"/>
    <row r="1047080" customFormat="false" ht="12.8" hidden="false" customHeight="false" outlineLevel="0" collapsed="false"/>
    <row r="1047081" customFormat="false" ht="12.8" hidden="false" customHeight="false" outlineLevel="0" collapsed="false"/>
    <row r="1047082" customFormat="false" ht="12.8" hidden="false" customHeight="false" outlineLevel="0" collapsed="false"/>
    <row r="1047083" customFormat="false" ht="12.8" hidden="false" customHeight="false" outlineLevel="0" collapsed="false"/>
    <row r="1047084" customFormat="false" ht="12.8" hidden="false" customHeight="false" outlineLevel="0" collapsed="false"/>
    <row r="1047085" customFormat="false" ht="12.8" hidden="false" customHeight="false" outlineLevel="0" collapsed="false"/>
    <row r="1047086" customFormat="false" ht="12.8" hidden="false" customHeight="false" outlineLevel="0" collapsed="false"/>
    <row r="1047087" customFormat="false" ht="12.8" hidden="false" customHeight="false" outlineLevel="0" collapsed="false"/>
    <row r="1047088" customFormat="false" ht="12.8" hidden="false" customHeight="false" outlineLevel="0" collapsed="false"/>
    <row r="1047089" customFormat="false" ht="12.8" hidden="false" customHeight="false" outlineLevel="0" collapsed="false"/>
    <row r="1047090" customFormat="false" ht="12.8" hidden="false" customHeight="false" outlineLevel="0" collapsed="false"/>
    <row r="1047091" customFormat="false" ht="12.8" hidden="false" customHeight="false" outlineLevel="0" collapsed="false"/>
    <row r="1047092" customFormat="false" ht="12.8" hidden="false" customHeight="false" outlineLevel="0" collapsed="false"/>
    <row r="1047093" customFormat="false" ht="12.8" hidden="false" customHeight="false" outlineLevel="0" collapsed="false"/>
    <row r="1047094" customFormat="false" ht="12.8" hidden="false" customHeight="false" outlineLevel="0" collapsed="false"/>
    <row r="1047095" customFormat="false" ht="12.8" hidden="false" customHeight="false" outlineLevel="0" collapsed="false"/>
    <row r="1047096" customFormat="false" ht="12.8" hidden="false" customHeight="false" outlineLevel="0" collapsed="false"/>
    <row r="1047097" customFormat="false" ht="12.8" hidden="false" customHeight="false" outlineLevel="0" collapsed="false"/>
    <row r="1047098" customFormat="false" ht="12.8" hidden="false" customHeight="false" outlineLevel="0" collapsed="false"/>
    <row r="1047099" customFormat="false" ht="12.8" hidden="false" customHeight="false" outlineLevel="0" collapsed="false"/>
    <row r="1047100" customFormat="false" ht="12.8" hidden="false" customHeight="false" outlineLevel="0" collapsed="false"/>
    <row r="1047101" customFormat="false" ht="12.8" hidden="false" customHeight="false" outlineLevel="0" collapsed="false"/>
    <row r="1047102" customFormat="false" ht="12.8" hidden="false" customHeight="false" outlineLevel="0" collapsed="false"/>
    <row r="1047103" customFormat="false" ht="12.8" hidden="false" customHeight="false" outlineLevel="0" collapsed="false"/>
    <row r="1047104" customFormat="false" ht="12.8" hidden="false" customHeight="false" outlineLevel="0" collapsed="false"/>
    <row r="1047105" customFormat="false" ht="12.8" hidden="false" customHeight="false" outlineLevel="0" collapsed="false"/>
    <row r="1047106" customFormat="false" ht="12.8" hidden="false" customHeight="false" outlineLevel="0" collapsed="false"/>
    <row r="1047107" customFormat="false" ht="12.8" hidden="false" customHeight="false" outlineLevel="0" collapsed="false"/>
    <row r="1047108" customFormat="false" ht="12.8" hidden="false" customHeight="false" outlineLevel="0" collapsed="false"/>
    <row r="1047109" customFormat="false" ht="12.8" hidden="false" customHeight="false" outlineLevel="0" collapsed="false"/>
    <row r="1047110" customFormat="false" ht="12.8" hidden="false" customHeight="false" outlineLevel="0" collapsed="false"/>
    <row r="1047111" customFormat="false" ht="12.8" hidden="false" customHeight="false" outlineLevel="0" collapsed="false"/>
    <row r="1047112" customFormat="false" ht="12.8" hidden="false" customHeight="false" outlineLevel="0" collapsed="false"/>
    <row r="1047113" customFormat="false" ht="12.8" hidden="false" customHeight="false" outlineLevel="0" collapsed="false"/>
    <row r="1047114" customFormat="false" ht="12.8" hidden="false" customHeight="false" outlineLevel="0" collapsed="false"/>
    <row r="1047115" customFormat="false" ht="12.8" hidden="false" customHeight="false" outlineLevel="0" collapsed="false"/>
    <row r="1047116" customFormat="false" ht="12.8" hidden="false" customHeight="false" outlineLevel="0" collapsed="false"/>
    <row r="1047117" customFormat="false" ht="12.8" hidden="false" customHeight="false" outlineLevel="0" collapsed="false"/>
    <row r="1047118" customFormat="false" ht="12.8" hidden="false" customHeight="false" outlineLevel="0" collapsed="false"/>
    <row r="1047119" customFormat="false" ht="12.8" hidden="false" customHeight="false" outlineLevel="0" collapsed="false"/>
    <row r="1047120" customFormat="false" ht="12.8" hidden="false" customHeight="false" outlineLevel="0" collapsed="false"/>
    <row r="1047121" customFormat="false" ht="12.8" hidden="false" customHeight="false" outlineLevel="0" collapsed="false"/>
    <row r="1047122" customFormat="false" ht="12.8" hidden="false" customHeight="false" outlineLevel="0" collapsed="false"/>
    <row r="1047123" customFormat="false" ht="12.8" hidden="false" customHeight="false" outlineLevel="0" collapsed="false"/>
    <row r="1047124" customFormat="false" ht="12.8" hidden="false" customHeight="false" outlineLevel="0" collapsed="false"/>
    <row r="1047125" customFormat="false" ht="12.8" hidden="false" customHeight="false" outlineLevel="0" collapsed="false"/>
    <row r="1047126" customFormat="false" ht="12.8" hidden="false" customHeight="false" outlineLevel="0" collapsed="false"/>
    <row r="1047127" customFormat="false" ht="12.8" hidden="false" customHeight="false" outlineLevel="0" collapsed="false"/>
    <row r="1047128" customFormat="false" ht="12.8" hidden="false" customHeight="false" outlineLevel="0" collapsed="false"/>
    <row r="1047129" customFormat="false" ht="12.8" hidden="false" customHeight="false" outlineLevel="0" collapsed="false"/>
    <row r="1047130" customFormat="false" ht="12.8" hidden="false" customHeight="false" outlineLevel="0" collapsed="false"/>
    <row r="1047131" customFormat="false" ht="12.8" hidden="false" customHeight="false" outlineLevel="0" collapsed="false"/>
    <row r="1047132" customFormat="false" ht="12.8" hidden="false" customHeight="false" outlineLevel="0" collapsed="false"/>
    <row r="1047133" customFormat="false" ht="12.8" hidden="false" customHeight="false" outlineLevel="0" collapsed="false"/>
    <row r="1047134" customFormat="false" ht="12.8" hidden="false" customHeight="false" outlineLevel="0" collapsed="false"/>
    <row r="1047135" customFormat="false" ht="12.8" hidden="false" customHeight="false" outlineLevel="0" collapsed="false"/>
    <row r="1047136" customFormat="false" ht="12.8" hidden="false" customHeight="false" outlineLevel="0" collapsed="false"/>
    <row r="1047137" customFormat="false" ht="12.8" hidden="false" customHeight="false" outlineLevel="0" collapsed="false"/>
    <row r="1047138" customFormat="false" ht="12.8" hidden="false" customHeight="false" outlineLevel="0" collapsed="false"/>
    <row r="1047139" customFormat="false" ht="12.8" hidden="false" customHeight="false" outlineLevel="0" collapsed="false"/>
    <row r="1047140" customFormat="false" ht="12.8" hidden="false" customHeight="false" outlineLevel="0" collapsed="false"/>
    <row r="1047141" customFormat="false" ht="12.8" hidden="false" customHeight="false" outlineLevel="0" collapsed="false"/>
    <row r="1047142" customFormat="false" ht="12.8" hidden="false" customHeight="false" outlineLevel="0" collapsed="false"/>
    <row r="1047143" customFormat="false" ht="12.8" hidden="false" customHeight="false" outlineLevel="0" collapsed="false"/>
    <row r="1047144" customFormat="false" ht="12.8" hidden="false" customHeight="false" outlineLevel="0" collapsed="false"/>
    <row r="1047145" customFormat="false" ht="12.8" hidden="false" customHeight="false" outlineLevel="0" collapsed="false"/>
    <row r="1047146" customFormat="false" ht="12.8" hidden="false" customHeight="false" outlineLevel="0" collapsed="false"/>
    <row r="1047147" customFormat="false" ht="12.8" hidden="false" customHeight="false" outlineLevel="0" collapsed="false"/>
    <row r="1047148" customFormat="false" ht="12.8" hidden="false" customHeight="false" outlineLevel="0" collapsed="false"/>
    <row r="1047149" customFormat="false" ht="12.8" hidden="false" customHeight="false" outlineLevel="0" collapsed="false"/>
    <row r="1047150" customFormat="false" ht="12.8" hidden="false" customHeight="false" outlineLevel="0" collapsed="false"/>
    <row r="1047151" customFormat="false" ht="12.8" hidden="false" customHeight="false" outlineLevel="0" collapsed="false"/>
    <row r="1047152" customFormat="false" ht="12.8" hidden="false" customHeight="false" outlineLevel="0" collapsed="false"/>
    <row r="1047153" customFormat="false" ht="12.8" hidden="false" customHeight="false" outlineLevel="0" collapsed="false"/>
    <row r="1047154" customFormat="false" ht="12.8" hidden="false" customHeight="false" outlineLevel="0" collapsed="false"/>
    <row r="1047155" customFormat="false" ht="12.8" hidden="false" customHeight="false" outlineLevel="0" collapsed="false"/>
    <row r="1047156" customFormat="false" ht="12.8" hidden="false" customHeight="false" outlineLevel="0" collapsed="false"/>
    <row r="1047157" customFormat="false" ht="12.8" hidden="false" customHeight="false" outlineLevel="0" collapsed="false"/>
    <row r="1047158" customFormat="false" ht="12.8" hidden="false" customHeight="false" outlineLevel="0" collapsed="false"/>
    <row r="1047159" customFormat="false" ht="12.8" hidden="false" customHeight="false" outlineLevel="0" collapsed="false"/>
    <row r="1047160" customFormat="false" ht="12.8" hidden="false" customHeight="false" outlineLevel="0" collapsed="false"/>
    <row r="1047161" customFormat="false" ht="12.8" hidden="false" customHeight="false" outlineLevel="0" collapsed="false"/>
    <row r="1047162" customFormat="false" ht="12.8" hidden="false" customHeight="false" outlineLevel="0" collapsed="false"/>
    <row r="1047163" customFormat="false" ht="12.8" hidden="false" customHeight="false" outlineLevel="0" collapsed="false"/>
    <row r="1047164" customFormat="false" ht="12.8" hidden="false" customHeight="false" outlineLevel="0" collapsed="false"/>
    <row r="1047165" customFormat="false" ht="12.8" hidden="false" customHeight="false" outlineLevel="0" collapsed="false"/>
    <row r="1047166" customFormat="false" ht="12.8" hidden="false" customHeight="false" outlineLevel="0" collapsed="false"/>
    <row r="1047167" customFormat="false" ht="12.8" hidden="false" customHeight="false" outlineLevel="0" collapsed="false"/>
    <row r="1047168" customFormat="false" ht="12.8" hidden="false" customHeight="false" outlineLevel="0" collapsed="false"/>
    <row r="1047169" customFormat="false" ht="12.8" hidden="false" customHeight="false" outlineLevel="0" collapsed="false"/>
    <row r="1047170" customFormat="false" ht="12.8" hidden="false" customHeight="false" outlineLevel="0" collapsed="false"/>
    <row r="1047171" customFormat="false" ht="12.8" hidden="false" customHeight="false" outlineLevel="0" collapsed="false"/>
    <row r="1047172" customFormat="false" ht="12.8" hidden="false" customHeight="false" outlineLevel="0" collapsed="false"/>
    <row r="1047173" customFormat="false" ht="12.8" hidden="false" customHeight="false" outlineLevel="0" collapsed="false"/>
    <row r="1047174" customFormat="false" ht="12.8" hidden="false" customHeight="false" outlineLevel="0" collapsed="false"/>
    <row r="1047175" customFormat="false" ht="12.8" hidden="false" customHeight="false" outlineLevel="0" collapsed="false"/>
    <row r="1047176" customFormat="false" ht="12.8" hidden="false" customHeight="false" outlineLevel="0" collapsed="false"/>
    <row r="1047177" customFormat="false" ht="12.8" hidden="false" customHeight="false" outlineLevel="0" collapsed="false"/>
    <row r="1047178" customFormat="false" ht="12.8" hidden="false" customHeight="false" outlineLevel="0" collapsed="false"/>
    <row r="1047179" customFormat="false" ht="12.8" hidden="false" customHeight="false" outlineLevel="0" collapsed="false"/>
    <row r="1047180" customFormat="false" ht="12.8" hidden="false" customHeight="false" outlineLevel="0" collapsed="false"/>
    <row r="1047181" customFormat="false" ht="12.8" hidden="false" customHeight="false" outlineLevel="0" collapsed="false"/>
    <row r="1047182" customFormat="false" ht="12.8" hidden="false" customHeight="false" outlineLevel="0" collapsed="false"/>
    <row r="1047183" customFormat="false" ht="12.8" hidden="false" customHeight="false" outlineLevel="0" collapsed="false"/>
    <row r="1047184" customFormat="false" ht="12.8" hidden="false" customHeight="false" outlineLevel="0" collapsed="false"/>
    <row r="1047185" customFormat="false" ht="12.8" hidden="false" customHeight="false" outlineLevel="0" collapsed="false"/>
    <row r="1047186" customFormat="false" ht="12.8" hidden="false" customHeight="false" outlineLevel="0" collapsed="false"/>
    <row r="1047187" customFormat="false" ht="12.8" hidden="false" customHeight="false" outlineLevel="0" collapsed="false"/>
    <row r="1047188" customFormat="false" ht="12.8" hidden="false" customHeight="false" outlineLevel="0" collapsed="false"/>
    <row r="1047189" customFormat="false" ht="12.8" hidden="false" customHeight="false" outlineLevel="0" collapsed="false"/>
    <row r="1047190" customFormat="false" ht="12.8" hidden="false" customHeight="false" outlineLevel="0" collapsed="false"/>
    <row r="1047191" customFormat="false" ht="12.8" hidden="false" customHeight="false" outlineLevel="0" collapsed="false"/>
    <row r="1047192" customFormat="false" ht="12.8" hidden="false" customHeight="false" outlineLevel="0" collapsed="false"/>
    <row r="1047193" customFormat="false" ht="12.8" hidden="false" customHeight="false" outlineLevel="0" collapsed="false"/>
    <row r="1047194" customFormat="false" ht="12.8" hidden="false" customHeight="false" outlineLevel="0" collapsed="false"/>
    <row r="1047195" customFormat="false" ht="12.8" hidden="false" customHeight="false" outlineLevel="0" collapsed="false"/>
    <row r="1047196" customFormat="false" ht="12.8" hidden="false" customHeight="false" outlineLevel="0" collapsed="false"/>
    <row r="1047197" customFormat="false" ht="12.8" hidden="false" customHeight="false" outlineLevel="0" collapsed="false"/>
    <row r="1047198" customFormat="false" ht="12.8" hidden="false" customHeight="false" outlineLevel="0" collapsed="false"/>
    <row r="1047199" customFormat="false" ht="12.8" hidden="false" customHeight="false" outlineLevel="0" collapsed="false"/>
    <row r="1047200" customFormat="false" ht="12.8" hidden="false" customHeight="false" outlineLevel="0" collapsed="false"/>
    <row r="1047201" customFormat="false" ht="12.8" hidden="false" customHeight="false" outlineLevel="0" collapsed="false"/>
    <row r="1047202" customFormat="false" ht="12.8" hidden="false" customHeight="false" outlineLevel="0" collapsed="false"/>
    <row r="1047203" customFormat="false" ht="12.8" hidden="false" customHeight="false" outlineLevel="0" collapsed="false"/>
    <row r="1047204" customFormat="false" ht="12.8" hidden="false" customHeight="false" outlineLevel="0" collapsed="false"/>
    <row r="1047205" customFormat="false" ht="12.8" hidden="false" customHeight="false" outlineLevel="0" collapsed="false"/>
    <row r="1047206" customFormat="false" ht="12.8" hidden="false" customHeight="false" outlineLevel="0" collapsed="false"/>
    <row r="1047207" customFormat="false" ht="12.8" hidden="false" customHeight="false" outlineLevel="0" collapsed="false"/>
    <row r="1047208" customFormat="false" ht="12.8" hidden="false" customHeight="false" outlineLevel="0" collapsed="false"/>
    <row r="1047209" customFormat="false" ht="12.8" hidden="false" customHeight="false" outlineLevel="0" collapsed="false"/>
    <row r="1047210" customFormat="false" ht="12.8" hidden="false" customHeight="false" outlineLevel="0" collapsed="false"/>
    <row r="1047211" customFormat="false" ht="12.8" hidden="false" customHeight="false" outlineLevel="0" collapsed="false"/>
    <row r="1047212" customFormat="false" ht="12.8" hidden="false" customHeight="false" outlineLevel="0" collapsed="false"/>
    <row r="1047213" customFormat="false" ht="12.8" hidden="false" customHeight="false" outlineLevel="0" collapsed="false"/>
    <row r="1047214" customFormat="false" ht="12.8" hidden="false" customHeight="false" outlineLevel="0" collapsed="false"/>
    <row r="1047215" customFormat="false" ht="12.8" hidden="false" customHeight="false" outlineLevel="0" collapsed="false"/>
    <row r="1047216" customFormat="false" ht="12.8" hidden="false" customHeight="false" outlineLevel="0" collapsed="false"/>
    <row r="1047217" customFormat="false" ht="12.8" hidden="false" customHeight="false" outlineLevel="0" collapsed="false"/>
    <row r="1047218" customFormat="false" ht="12.8" hidden="false" customHeight="false" outlineLevel="0" collapsed="false"/>
    <row r="1047219" customFormat="false" ht="12.8" hidden="false" customHeight="false" outlineLevel="0" collapsed="false"/>
    <row r="1047220" customFormat="false" ht="12.8" hidden="false" customHeight="false" outlineLevel="0" collapsed="false"/>
    <row r="1047221" customFormat="false" ht="12.8" hidden="false" customHeight="false" outlineLevel="0" collapsed="false"/>
    <row r="1047222" customFormat="false" ht="12.8" hidden="false" customHeight="false" outlineLevel="0" collapsed="false"/>
    <row r="1047223" customFormat="false" ht="12.8" hidden="false" customHeight="false" outlineLevel="0" collapsed="false"/>
    <row r="1047224" customFormat="false" ht="12.8" hidden="false" customHeight="false" outlineLevel="0" collapsed="false"/>
    <row r="1047225" customFormat="false" ht="12.8" hidden="false" customHeight="false" outlineLevel="0" collapsed="false"/>
    <row r="1047226" customFormat="false" ht="12.8" hidden="false" customHeight="false" outlineLevel="0" collapsed="false"/>
    <row r="1047227" customFormat="false" ht="12.8" hidden="false" customHeight="false" outlineLevel="0" collapsed="false"/>
    <row r="1047228" customFormat="false" ht="12.8" hidden="false" customHeight="false" outlineLevel="0" collapsed="false"/>
    <row r="1047229" customFormat="false" ht="12.8" hidden="false" customHeight="false" outlineLevel="0" collapsed="false"/>
    <row r="1047230" customFormat="false" ht="12.8" hidden="false" customHeight="false" outlineLevel="0" collapsed="false"/>
    <row r="1047231" customFormat="false" ht="12.8" hidden="false" customHeight="false" outlineLevel="0" collapsed="false"/>
    <row r="1047232" customFormat="false" ht="12.8" hidden="false" customHeight="false" outlineLevel="0" collapsed="false"/>
    <row r="1047233" customFormat="false" ht="12.8" hidden="false" customHeight="false" outlineLevel="0" collapsed="false"/>
    <row r="1047234" customFormat="false" ht="12.8" hidden="false" customHeight="false" outlineLevel="0" collapsed="false"/>
    <row r="1047235" customFormat="false" ht="12.8" hidden="false" customHeight="false" outlineLevel="0" collapsed="false"/>
    <row r="1047236" customFormat="false" ht="12.8" hidden="false" customHeight="false" outlineLevel="0" collapsed="false"/>
    <row r="1047237" customFormat="false" ht="12.8" hidden="false" customHeight="false" outlineLevel="0" collapsed="false"/>
    <row r="1047238" customFormat="false" ht="12.8" hidden="false" customHeight="false" outlineLevel="0" collapsed="false"/>
    <row r="1047239" customFormat="false" ht="12.8" hidden="false" customHeight="false" outlineLevel="0" collapsed="false"/>
    <row r="1047240" customFormat="false" ht="12.8" hidden="false" customHeight="false" outlineLevel="0" collapsed="false"/>
    <row r="1047241" customFormat="false" ht="12.8" hidden="false" customHeight="false" outlineLevel="0" collapsed="false"/>
    <row r="1047242" customFormat="false" ht="12.8" hidden="false" customHeight="false" outlineLevel="0" collapsed="false"/>
    <row r="1047243" customFormat="false" ht="12.8" hidden="false" customHeight="false" outlineLevel="0" collapsed="false"/>
    <row r="1047244" customFormat="false" ht="12.8" hidden="false" customHeight="false" outlineLevel="0" collapsed="false"/>
    <row r="1047245" customFormat="false" ht="12.8" hidden="false" customHeight="false" outlineLevel="0" collapsed="false"/>
    <row r="1047246" customFormat="false" ht="12.8" hidden="false" customHeight="false" outlineLevel="0" collapsed="false"/>
    <row r="1047247" customFormat="false" ht="12.8" hidden="false" customHeight="false" outlineLevel="0" collapsed="false"/>
    <row r="1047248" customFormat="false" ht="12.8" hidden="false" customHeight="false" outlineLevel="0" collapsed="false"/>
    <row r="1047249" customFormat="false" ht="12.8" hidden="false" customHeight="false" outlineLevel="0" collapsed="false"/>
    <row r="1047250" customFormat="false" ht="12.8" hidden="false" customHeight="false" outlineLevel="0" collapsed="false"/>
    <row r="1047251" customFormat="false" ht="12.8" hidden="false" customHeight="false" outlineLevel="0" collapsed="false"/>
    <row r="1047252" customFormat="false" ht="12.8" hidden="false" customHeight="false" outlineLevel="0" collapsed="false"/>
    <row r="1047253" customFormat="false" ht="12.8" hidden="false" customHeight="false" outlineLevel="0" collapsed="false"/>
    <row r="1047254" customFormat="false" ht="12.8" hidden="false" customHeight="false" outlineLevel="0" collapsed="false"/>
    <row r="1047255" customFormat="false" ht="12.8" hidden="false" customHeight="false" outlineLevel="0" collapsed="false"/>
    <row r="1047256" customFormat="false" ht="12.8" hidden="false" customHeight="false" outlineLevel="0" collapsed="false"/>
    <row r="1047257" customFormat="false" ht="12.8" hidden="false" customHeight="false" outlineLevel="0" collapsed="false"/>
    <row r="1047258" customFormat="false" ht="12.8" hidden="false" customHeight="false" outlineLevel="0" collapsed="false"/>
    <row r="1047259" customFormat="false" ht="12.8" hidden="false" customHeight="false" outlineLevel="0" collapsed="false"/>
    <row r="1047260" customFormat="false" ht="12.8" hidden="false" customHeight="false" outlineLevel="0" collapsed="false"/>
    <row r="1047261" customFormat="false" ht="12.8" hidden="false" customHeight="false" outlineLevel="0" collapsed="false"/>
    <row r="1047262" customFormat="false" ht="12.8" hidden="false" customHeight="false" outlineLevel="0" collapsed="false"/>
    <row r="1047263" customFormat="false" ht="12.8" hidden="false" customHeight="false" outlineLevel="0" collapsed="false"/>
    <row r="1047264" customFormat="false" ht="12.8" hidden="false" customHeight="false" outlineLevel="0" collapsed="false"/>
    <row r="1047265" customFormat="false" ht="12.8" hidden="false" customHeight="false" outlineLevel="0" collapsed="false"/>
    <row r="1047266" customFormat="false" ht="12.8" hidden="false" customHeight="false" outlineLevel="0" collapsed="false"/>
    <row r="1047267" customFormat="false" ht="12.8" hidden="false" customHeight="false" outlineLevel="0" collapsed="false"/>
    <row r="1047268" customFormat="false" ht="12.8" hidden="false" customHeight="false" outlineLevel="0" collapsed="false"/>
    <row r="1047269" customFormat="false" ht="12.8" hidden="false" customHeight="false" outlineLevel="0" collapsed="false"/>
    <row r="1047270" customFormat="false" ht="12.8" hidden="false" customHeight="false" outlineLevel="0" collapsed="false"/>
    <row r="1047271" customFormat="false" ht="12.8" hidden="false" customHeight="false" outlineLevel="0" collapsed="false"/>
    <row r="1047272" customFormat="false" ht="12.8" hidden="false" customHeight="false" outlineLevel="0" collapsed="false"/>
    <row r="1047273" customFormat="false" ht="12.8" hidden="false" customHeight="false" outlineLevel="0" collapsed="false"/>
    <row r="1047274" customFormat="false" ht="12.8" hidden="false" customHeight="false" outlineLevel="0" collapsed="false"/>
    <row r="1047275" customFormat="false" ht="12.8" hidden="false" customHeight="false" outlineLevel="0" collapsed="false"/>
    <row r="1047276" customFormat="false" ht="12.8" hidden="false" customHeight="false" outlineLevel="0" collapsed="false"/>
    <row r="1047277" customFormat="false" ht="12.8" hidden="false" customHeight="false" outlineLevel="0" collapsed="false"/>
    <row r="1047278" customFormat="false" ht="12.8" hidden="false" customHeight="false" outlineLevel="0" collapsed="false"/>
    <row r="1047279" customFormat="false" ht="12.8" hidden="false" customHeight="false" outlineLevel="0" collapsed="false"/>
    <row r="1047280" customFormat="false" ht="12.8" hidden="false" customHeight="false" outlineLevel="0" collapsed="false"/>
    <row r="1047281" customFormat="false" ht="12.8" hidden="false" customHeight="false" outlineLevel="0" collapsed="false"/>
    <row r="1047282" customFormat="false" ht="12.8" hidden="false" customHeight="false" outlineLevel="0" collapsed="false"/>
    <row r="1047283" customFormat="false" ht="12.8" hidden="false" customHeight="false" outlineLevel="0" collapsed="false"/>
    <row r="1047284" customFormat="false" ht="12.8" hidden="false" customHeight="false" outlineLevel="0" collapsed="false"/>
    <row r="1047285" customFormat="false" ht="12.8" hidden="false" customHeight="false" outlineLevel="0" collapsed="false"/>
    <row r="1047286" customFormat="false" ht="12.8" hidden="false" customHeight="false" outlineLevel="0" collapsed="false"/>
    <row r="1047287" customFormat="false" ht="12.8" hidden="false" customHeight="false" outlineLevel="0" collapsed="false"/>
    <row r="1047288" customFormat="false" ht="12.8" hidden="false" customHeight="false" outlineLevel="0" collapsed="false"/>
    <row r="1047289" customFormat="false" ht="12.8" hidden="false" customHeight="false" outlineLevel="0" collapsed="false"/>
    <row r="1047290" customFormat="false" ht="12.8" hidden="false" customHeight="false" outlineLevel="0" collapsed="false"/>
    <row r="1047291" customFormat="false" ht="12.8" hidden="false" customHeight="false" outlineLevel="0" collapsed="false"/>
    <row r="1047292" customFormat="false" ht="12.8" hidden="false" customHeight="false" outlineLevel="0" collapsed="false"/>
    <row r="1047293" customFormat="false" ht="12.8" hidden="false" customHeight="false" outlineLevel="0" collapsed="false"/>
    <row r="1047294" customFormat="false" ht="12.8" hidden="false" customHeight="false" outlineLevel="0" collapsed="false"/>
    <row r="1047295" customFormat="false" ht="12.8" hidden="false" customHeight="false" outlineLevel="0" collapsed="false"/>
    <row r="1047296" customFormat="false" ht="12.8" hidden="false" customHeight="false" outlineLevel="0" collapsed="false"/>
    <row r="1047297" customFormat="false" ht="12.8" hidden="false" customHeight="false" outlineLevel="0" collapsed="false"/>
    <row r="1047298" customFormat="false" ht="12.8" hidden="false" customHeight="false" outlineLevel="0" collapsed="false"/>
    <row r="1047299" customFormat="false" ht="12.8" hidden="false" customHeight="false" outlineLevel="0" collapsed="false"/>
    <row r="1047300" customFormat="false" ht="12.8" hidden="false" customHeight="false" outlineLevel="0" collapsed="false"/>
    <row r="1047301" customFormat="false" ht="12.8" hidden="false" customHeight="false" outlineLevel="0" collapsed="false"/>
    <row r="1047302" customFormat="false" ht="12.8" hidden="false" customHeight="false" outlineLevel="0" collapsed="false"/>
    <row r="1047303" customFormat="false" ht="12.8" hidden="false" customHeight="false" outlineLevel="0" collapsed="false"/>
    <row r="1047304" customFormat="false" ht="12.8" hidden="false" customHeight="false" outlineLevel="0" collapsed="false"/>
    <row r="1047305" customFormat="false" ht="12.8" hidden="false" customHeight="false" outlineLevel="0" collapsed="false"/>
    <row r="1047306" customFormat="false" ht="12.8" hidden="false" customHeight="false" outlineLevel="0" collapsed="false"/>
    <row r="1047307" customFormat="false" ht="12.8" hidden="false" customHeight="false" outlineLevel="0" collapsed="false"/>
    <row r="1047308" customFormat="false" ht="12.8" hidden="false" customHeight="false" outlineLevel="0" collapsed="false"/>
    <row r="1047309" customFormat="false" ht="12.8" hidden="false" customHeight="false" outlineLevel="0" collapsed="false"/>
    <row r="1047310" customFormat="false" ht="12.8" hidden="false" customHeight="false" outlineLevel="0" collapsed="false"/>
    <row r="1047311" customFormat="false" ht="12.8" hidden="false" customHeight="false" outlineLevel="0" collapsed="false"/>
    <row r="1047312" customFormat="false" ht="12.8" hidden="false" customHeight="false" outlineLevel="0" collapsed="false"/>
    <row r="1047313" customFormat="false" ht="12.8" hidden="false" customHeight="false" outlineLevel="0" collapsed="false"/>
    <row r="1047314" customFormat="false" ht="12.8" hidden="false" customHeight="false" outlineLevel="0" collapsed="false"/>
    <row r="1047315" customFormat="false" ht="12.8" hidden="false" customHeight="false" outlineLevel="0" collapsed="false"/>
    <row r="1047316" customFormat="false" ht="12.8" hidden="false" customHeight="false" outlineLevel="0" collapsed="false"/>
    <row r="1047317" customFormat="false" ht="12.8" hidden="false" customHeight="false" outlineLevel="0" collapsed="false"/>
    <row r="1047318" customFormat="false" ht="12.8" hidden="false" customHeight="false" outlineLevel="0" collapsed="false"/>
    <row r="1047319" customFormat="false" ht="12.8" hidden="false" customHeight="false" outlineLevel="0" collapsed="false"/>
    <row r="1047320" customFormat="false" ht="12.8" hidden="false" customHeight="false" outlineLevel="0" collapsed="false"/>
    <row r="1047321" customFormat="false" ht="12.8" hidden="false" customHeight="false" outlineLevel="0" collapsed="false"/>
    <row r="1047322" customFormat="false" ht="12.8" hidden="false" customHeight="false" outlineLevel="0" collapsed="false"/>
    <row r="1047323" customFormat="false" ht="12.8" hidden="false" customHeight="false" outlineLevel="0" collapsed="false"/>
    <row r="1047324" customFormat="false" ht="12.8" hidden="false" customHeight="false" outlineLevel="0" collapsed="false"/>
    <row r="1047325" customFormat="false" ht="12.8" hidden="false" customHeight="false" outlineLevel="0" collapsed="false"/>
    <row r="1047326" customFormat="false" ht="12.8" hidden="false" customHeight="false" outlineLevel="0" collapsed="false"/>
    <row r="1047327" customFormat="false" ht="12.8" hidden="false" customHeight="false" outlineLevel="0" collapsed="false"/>
    <row r="1047328" customFormat="false" ht="12.8" hidden="false" customHeight="false" outlineLevel="0" collapsed="false"/>
    <row r="1047329" customFormat="false" ht="12.8" hidden="false" customHeight="false" outlineLevel="0" collapsed="false"/>
    <row r="1047330" customFormat="false" ht="12.8" hidden="false" customHeight="false" outlineLevel="0" collapsed="false"/>
    <row r="1047331" customFormat="false" ht="12.8" hidden="false" customHeight="false" outlineLevel="0" collapsed="false"/>
    <row r="1047332" customFormat="false" ht="12.8" hidden="false" customHeight="false" outlineLevel="0" collapsed="false"/>
    <row r="1047333" customFormat="false" ht="12.8" hidden="false" customHeight="false" outlineLevel="0" collapsed="false"/>
    <row r="1047334" customFormat="false" ht="12.8" hidden="false" customHeight="false" outlineLevel="0" collapsed="false"/>
    <row r="1047335" customFormat="false" ht="12.8" hidden="false" customHeight="false" outlineLevel="0" collapsed="false"/>
    <row r="1047336" customFormat="false" ht="12.8" hidden="false" customHeight="false" outlineLevel="0" collapsed="false"/>
    <row r="1047337" customFormat="false" ht="12.8" hidden="false" customHeight="false" outlineLevel="0" collapsed="false"/>
    <row r="1047338" customFormat="false" ht="12.8" hidden="false" customHeight="false" outlineLevel="0" collapsed="false"/>
    <row r="1047339" customFormat="false" ht="12.8" hidden="false" customHeight="false" outlineLevel="0" collapsed="false"/>
    <row r="1047340" customFormat="false" ht="12.8" hidden="false" customHeight="false" outlineLevel="0" collapsed="false"/>
    <row r="1047341" customFormat="false" ht="12.8" hidden="false" customHeight="false" outlineLevel="0" collapsed="false"/>
    <row r="1047342" customFormat="false" ht="12.8" hidden="false" customHeight="false" outlineLevel="0" collapsed="false"/>
    <row r="1047343" customFormat="false" ht="12.8" hidden="false" customHeight="false" outlineLevel="0" collapsed="false"/>
    <row r="1047344" customFormat="false" ht="12.8" hidden="false" customHeight="false" outlineLevel="0" collapsed="false"/>
    <row r="1047345" customFormat="false" ht="12.8" hidden="false" customHeight="false" outlineLevel="0" collapsed="false"/>
    <row r="1047346" customFormat="false" ht="12.8" hidden="false" customHeight="false" outlineLevel="0" collapsed="false"/>
    <row r="1047347" customFormat="false" ht="12.8" hidden="false" customHeight="false" outlineLevel="0" collapsed="false"/>
    <row r="1047348" customFormat="false" ht="12.8" hidden="false" customHeight="false" outlineLevel="0" collapsed="false"/>
    <row r="1047349" customFormat="false" ht="12.8" hidden="false" customHeight="false" outlineLevel="0" collapsed="false"/>
    <row r="1047350" customFormat="false" ht="12.8" hidden="false" customHeight="false" outlineLevel="0" collapsed="false"/>
    <row r="1047351" customFormat="false" ht="12.8" hidden="false" customHeight="false" outlineLevel="0" collapsed="false"/>
    <row r="1047352" customFormat="false" ht="12.8" hidden="false" customHeight="false" outlineLevel="0" collapsed="false"/>
    <row r="1047353" customFormat="false" ht="12.8" hidden="false" customHeight="false" outlineLevel="0" collapsed="false"/>
    <row r="1047354" customFormat="false" ht="12.8" hidden="false" customHeight="false" outlineLevel="0" collapsed="false"/>
    <row r="1047355" customFormat="false" ht="12.8" hidden="false" customHeight="false" outlineLevel="0" collapsed="false"/>
    <row r="1047356" customFormat="false" ht="12.8" hidden="false" customHeight="false" outlineLevel="0" collapsed="false"/>
    <row r="1047357" customFormat="false" ht="12.8" hidden="false" customHeight="false" outlineLevel="0" collapsed="false"/>
    <row r="1047358" customFormat="false" ht="12.8" hidden="false" customHeight="false" outlineLevel="0" collapsed="false"/>
    <row r="1047359" customFormat="false" ht="12.8" hidden="false" customHeight="false" outlineLevel="0" collapsed="false"/>
    <row r="1047360" customFormat="false" ht="12.8" hidden="false" customHeight="false" outlineLevel="0" collapsed="false"/>
    <row r="1047361" customFormat="false" ht="12.8" hidden="false" customHeight="false" outlineLevel="0" collapsed="false"/>
    <row r="1047362" customFormat="false" ht="12.8" hidden="false" customHeight="false" outlineLevel="0" collapsed="false"/>
    <row r="1047363" customFormat="false" ht="12.8" hidden="false" customHeight="false" outlineLevel="0" collapsed="false"/>
    <row r="1047364" customFormat="false" ht="12.8" hidden="false" customHeight="false" outlineLevel="0" collapsed="false"/>
    <row r="1047365" customFormat="false" ht="12.8" hidden="false" customHeight="false" outlineLevel="0" collapsed="false"/>
    <row r="1047366" customFormat="false" ht="12.8" hidden="false" customHeight="false" outlineLevel="0" collapsed="false"/>
    <row r="1047367" customFormat="false" ht="12.8" hidden="false" customHeight="false" outlineLevel="0" collapsed="false"/>
    <row r="1047368" customFormat="false" ht="12.8" hidden="false" customHeight="false" outlineLevel="0" collapsed="false"/>
    <row r="1047369" customFormat="false" ht="12.8" hidden="false" customHeight="false" outlineLevel="0" collapsed="false"/>
    <row r="1047370" customFormat="false" ht="12.8" hidden="false" customHeight="false" outlineLevel="0" collapsed="false"/>
    <row r="1047371" customFormat="false" ht="12.8" hidden="false" customHeight="false" outlineLevel="0" collapsed="false"/>
    <row r="1047372" customFormat="false" ht="12.8" hidden="false" customHeight="false" outlineLevel="0" collapsed="false"/>
    <row r="1047373" customFormat="false" ht="12.8" hidden="false" customHeight="false" outlineLevel="0" collapsed="false"/>
    <row r="1047374" customFormat="false" ht="12.8" hidden="false" customHeight="false" outlineLevel="0" collapsed="false"/>
    <row r="1047375" customFormat="false" ht="12.8" hidden="false" customHeight="false" outlineLevel="0" collapsed="false"/>
    <row r="1047376" customFormat="false" ht="12.8" hidden="false" customHeight="false" outlineLevel="0" collapsed="false"/>
    <row r="1047377" customFormat="false" ht="12.8" hidden="false" customHeight="false" outlineLevel="0" collapsed="false"/>
    <row r="1047378" customFormat="false" ht="12.8" hidden="false" customHeight="false" outlineLevel="0" collapsed="false"/>
    <row r="1047379" customFormat="false" ht="12.8" hidden="false" customHeight="false" outlineLevel="0" collapsed="false"/>
    <row r="1047380" customFormat="false" ht="12.8" hidden="false" customHeight="false" outlineLevel="0" collapsed="false"/>
    <row r="1047381" customFormat="false" ht="12.8" hidden="false" customHeight="false" outlineLevel="0" collapsed="false"/>
    <row r="1047382" customFormat="false" ht="12.8" hidden="false" customHeight="false" outlineLevel="0" collapsed="false"/>
    <row r="1047383" customFormat="false" ht="12.8" hidden="false" customHeight="false" outlineLevel="0" collapsed="false"/>
    <row r="1047384" customFormat="false" ht="12.8" hidden="false" customHeight="false" outlineLevel="0" collapsed="false"/>
    <row r="1047385" customFormat="false" ht="12.8" hidden="false" customHeight="false" outlineLevel="0" collapsed="false"/>
    <row r="1047386" customFormat="false" ht="12.8" hidden="false" customHeight="false" outlineLevel="0" collapsed="false"/>
    <row r="1047387" customFormat="false" ht="12.8" hidden="false" customHeight="false" outlineLevel="0" collapsed="false"/>
    <row r="1047388" customFormat="false" ht="12.8" hidden="false" customHeight="false" outlineLevel="0" collapsed="false"/>
    <row r="1047389" customFormat="false" ht="12.8" hidden="false" customHeight="false" outlineLevel="0" collapsed="false"/>
    <row r="1047390" customFormat="false" ht="12.8" hidden="false" customHeight="false" outlineLevel="0" collapsed="false"/>
    <row r="1047391" customFormat="false" ht="12.8" hidden="false" customHeight="false" outlineLevel="0" collapsed="false"/>
    <row r="1047392" customFormat="false" ht="12.8" hidden="false" customHeight="false" outlineLevel="0" collapsed="false"/>
    <row r="1047393" customFormat="false" ht="12.8" hidden="false" customHeight="false" outlineLevel="0" collapsed="false"/>
    <row r="1047394" customFormat="false" ht="12.8" hidden="false" customHeight="false" outlineLevel="0" collapsed="false"/>
    <row r="1047395" customFormat="false" ht="12.8" hidden="false" customHeight="false" outlineLevel="0" collapsed="false"/>
    <row r="1047396" customFormat="false" ht="12.8" hidden="false" customHeight="false" outlineLevel="0" collapsed="false"/>
    <row r="1047397" customFormat="false" ht="12.8" hidden="false" customHeight="false" outlineLevel="0" collapsed="false"/>
    <row r="1047398" customFormat="false" ht="12.8" hidden="false" customHeight="false" outlineLevel="0" collapsed="false"/>
    <row r="1047399" customFormat="false" ht="12.8" hidden="false" customHeight="false" outlineLevel="0" collapsed="false"/>
    <row r="1047400" customFormat="false" ht="12.8" hidden="false" customHeight="false" outlineLevel="0" collapsed="false"/>
    <row r="1047401" customFormat="false" ht="12.8" hidden="false" customHeight="false" outlineLevel="0" collapsed="false"/>
    <row r="1047402" customFormat="false" ht="12.8" hidden="false" customHeight="false" outlineLevel="0" collapsed="false"/>
    <row r="1047403" customFormat="false" ht="12.8" hidden="false" customHeight="false" outlineLevel="0" collapsed="false"/>
    <row r="1047404" customFormat="false" ht="12.8" hidden="false" customHeight="false" outlineLevel="0" collapsed="false"/>
    <row r="1047405" customFormat="false" ht="12.8" hidden="false" customHeight="false" outlineLevel="0" collapsed="false"/>
    <row r="1047406" customFormat="false" ht="12.8" hidden="false" customHeight="false" outlineLevel="0" collapsed="false"/>
    <row r="1047407" customFormat="false" ht="12.8" hidden="false" customHeight="false" outlineLevel="0" collapsed="false"/>
    <row r="1047408" customFormat="false" ht="12.8" hidden="false" customHeight="false" outlineLevel="0" collapsed="false"/>
    <row r="1047409" customFormat="false" ht="12.8" hidden="false" customHeight="false" outlineLevel="0" collapsed="false"/>
    <row r="1047410" customFormat="false" ht="12.8" hidden="false" customHeight="false" outlineLevel="0" collapsed="false"/>
    <row r="1047411" customFormat="false" ht="12.8" hidden="false" customHeight="false" outlineLevel="0" collapsed="false"/>
    <row r="1047412" customFormat="false" ht="12.8" hidden="false" customHeight="false" outlineLevel="0" collapsed="false"/>
    <row r="1047413" customFormat="false" ht="12.8" hidden="false" customHeight="false" outlineLevel="0" collapsed="false"/>
    <row r="1047414" customFormat="false" ht="12.8" hidden="false" customHeight="false" outlineLevel="0" collapsed="false"/>
    <row r="1047415" customFormat="false" ht="12.8" hidden="false" customHeight="false" outlineLevel="0" collapsed="false"/>
    <row r="1047416" customFormat="false" ht="12.8" hidden="false" customHeight="false" outlineLevel="0" collapsed="false"/>
    <row r="1047417" customFormat="false" ht="12.8" hidden="false" customHeight="false" outlineLevel="0" collapsed="false"/>
    <row r="1047418" customFormat="false" ht="12.8" hidden="false" customHeight="false" outlineLevel="0" collapsed="false"/>
    <row r="1047419" customFormat="false" ht="12.8" hidden="false" customHeight="false" outlineLevel="0" collapsed="false"/>
    <row r="1047420" customFormat="false" ht="12.8" hidden="false" customHeight="false" outlineLevel="0" collapsed="false"/>
    <row r="1047421" customFormat="false" ht="12.8" hidden="false" customHeight="false" outlineLevel="0" collapsed="false"/>
    <row r="1047422" customFormat="false" ht="12.8" hidden="false" customHeight="false" outlineLevel="0" collapsed="false"/>
    <row r="1047423" customFormat="false" ht="12.8" hidden="false" customHeight="false" outlineLevel="0" collapsed="false"/>
    <row r="1047424" customFormat="false" ht="12.8" hidden="false" customHeight="false" outlineLevel="0" collapsed="false"/>
    <row r="1047425" customFormat="false" ht="12.8" hidden="false" customHeight="false" outlineLevel="0" collapsed="false"/>
    <row r="1047426" customFormat="false" ht="12.8" hidden="false" customHeight="false" outlineLevel="0" collapsed="false"/>
    <row r="1047427" customFormat="false" ht="12.8" hidden="false" customHeight="false" outlineLevel="0" collapsed="false"/>
    <row r="1047428" customFormat="false" ht="12.8" hidden="false" customHeight="false" outlineLevel="0" collapsed="false"/>
    <row r="1047429" customFormat="false" ht="12.8" hidden="false" customHeight="false" outlineLevel="0" collapsed="false"/>
    <row r="1047430" customFormat="false" ht="12.8" hidden="false" customHeight="false" outlineLevel="0" collapsed="false"/>
    <row r="1047431" customFormat="false" ht="12.8" hidden="false" customHeight="false" outlineLevel="0" collapsed="false"/>
    <row r="1047432" customFormat="false" ht="12.8" hidden="false" customHeight="false" outlineLevel="0" collapsed="false"/>
    <row r="1047433" customFormat="false" ht="12.8" hidden="false" customHeight="false" outlineLevel="0" collapsed="false"/>
    <row r="1047434" customFormat="false" ht="12.8" hidden="false" customHeight="false" outlineLevel="0" collapsed="false"/>
    <row r="1047435" customFormat="false" ht="12.8" hidden="false" customHeight="false" outlineLevel="0" collapsed="false"/>
    <row r="1047436" customFormat="false" ht="12.8" hidden="false" customHeight="false" outlineLevel="0" collapsed="false"/>
    <row r="1047437" customFormat="false" ht="12.8" hidden="false" customHeight="false" outlineLevel="0" collapsed="false"/>
    <row r="1047438" customFormat="false" ht="12.8" hidden="false" customHeight="false" outlineLevel="0" collapsed="false"/>
    <row r="1047439" customFormat="false" ht="12.8" hidden="false" customHeight="false" outlineLevel="0" collapsed="false"/>
    <row r="1047440" customFormat="false" ht="12.8" hidden="false" customHeight="false" outlineLevel="0" collapsed="false"/>
    <row r="1047441" customFormat="false" ht="12.8" hidden="false" customHeight="false" outlineLevel="0" collapsed="false"/>
    <row r="1047442" customFormat="false" ht="12.8" hidden="false" customHeight="false" outlineLevel="0" collapsed="false"/>
    <row r="1047443" customFormat="false" ht="12.8" hidden="false" customHeight="false" outlineLevel="0" collapsed="false"/>
    <row r="1047444" customFormat="false" ht="12.8" hidden="false" customHeight="false" outlineLevel="0" collapsed="false"/>
    <row r="1047445" customFormat="false" ht="12.8" hidden="false" customHeight="false" outlineLevel="0" collapsed="false"/>
    <row r="1047446" customFormat="false" ht="12.8" hidden="false" customHeight="false" outlineLevel="0" collapsed="false"/>
    <row r="1047447" customFormat="false" ht="12.8" hidden="false" customHeight="false" outlineLevel="0" collapsed="false"/>
    <row r="1047448" customFormat="false" ht="12.8" hidden="false" customHeight="false" outlineLevel="0" collapsed="false"/>
    <row r="1047449" customFormat="false" ht="12.8" hidden="false" customHeight="false" outlineLevel="0" collapsed="false"/>
    <row r="1047450" customFormat="false" ht="12.8" hidden="false" customHeight="false" outlineLevel="0" collapsed="false"/>
    <row r="1047451" customFormat="false" ht="12.8" hidden="false" customHeight="false" outlineLevel="0" collapsed="false"/>
    <row r="1047452" customFormat="false" ht="12.8" hidden="false" customHeight="false" outlineLevel="0" collapsed="false"/>
    <row r="1047453" customFormat="false" ht="12.8" hidden="false" customHeight="false" outlineLevel="0" collapsed="false"/>
    <row r="1047454" customFormat="false" ht="12.8" hidden="false" customHeight="false" outlineLevel="0" collapsed="false"/>
    <row r="1047455" customFormat="false" ht="12.8" hidden="false" customHeight="false" outlineLevel="0" collapsed="false"/>
    <row r="1047456" customFormat="false" ht="12.8" hidden="false" customHeight="false" outlineLevel="0" collapsed="false"/>
    <row r="1047457" customFormat="false" ht="12.8" hidden="false" customHeight="false" outlineLevel="0" collapsed="false"/>
    <row r="1047458" customFormat="false" ht="12.8" hidden="false" customHeight="false" outlineLevel="0" collapsed="false"/>
    <row r="1047459" customFormat="false" ht="12.8" hidden="false" customHeight="false" outlineLevel="0" collapsed="false"/>
    <row r="1047460" customFormat="false" ht="12.8" hidden="false" customHeight="false" outlineLevel="0" collapsed="false"/>
    <row r="1047461" customFormat="false" ht="12.8" hidden="false" customHeight="false" outlineLevel="0" collapsed="false"/>
    <row r="1047462" customFormat="false" ht="12.8" hidden="false" customHeight="false" outlineLevel="0" collapsed="false"/>
    <row r="1047463" customFormat="false" ht="12.8" hidden="false" customHeight="false" outlineLevel="0" collapsed="false"/>
    <row r="1047464" customFormat="false" ht="12.8" hidden="false" customHeight="false" outlineLevel="0" collapsed="false"/>
    <row r="1047465" customFormat="false" ht="12.8" hidden="false" customHeight="false" outlineLevel="0" collapsed="false"/>
    <row r="1047466" customFormat="false" ht="12.8" hidden="false" customHeight="false" outlineLevel="0" collapsed="false"/>
    <row r="1047467" customFormat="false" ht="12.8" hidden="false" customHeight="false" outlineLevel="0" collapsed="false"/>
    <row r="1047468" customFormat="false" ht="12.8" hidden="false" customHeight="false" outlineLevel="0" collapsed="false"/>
    <row r="1047469" customFormat="false" ht="12.8" hidden="false" customHeight="false" outlineLevel="0" collapsed="false"/>
    <row r="1047470" customFormat="false" ht="12.8" hidden="false" customHeight="false" outlineLevel="0" collapsed="false"/>
    <row r="1047471" customFormat="false" ht="12.8" hidden="false" customHeight="false" outlineLevel="0" collapsed="false"/>
    <row r="1047472" customFormat="false" ht="12.8" hidden="false" customHeight="false" outlineLevel="0" collapsed="false"/>
    <row r="1047473" customFormat="false" ht="12.8" hidden="false" customHeight="false" outlineLevel="0" collapsed="false"/>
    <row r="1047474" customFormat="false" ht="12.8" hidden="false" customHeight="false" outlineLevel="0" collapsed="false"/>
    <row r="1047475" customFormat="false" ht="12.8" hidden="false" customHeight="false" outlineLevel="0" collapsed="false"/>
    <row r="1047476" customFormat="false" ht="12.8" hidden="false" customHeight="false" outlineLevel="0" collapsed="false"/>
    <row r="1047477" customFormat="false" ht="12.8" hidden="false" customHeight="false" outlineLevel="0" collapsed="false"/>
    <row r="1047478" customFormat="false" ht="12.8" hidden="false" customHeight="false" outlineLevel="0" collapsed="false"/>
    <row r="1047479" customFormat="false" ht="12.8" hidden="false" customHeight="false" outlineLevel="0" collapsed="false"/>
    <row r="1047480" customFormat="false" ht="12.8" hidden="false" customHeight="false" outlineLevel="0" collapsed="false"/>
    <row r="1047481" customFormat="false" ht="12.8" hidden="false" customHeight="false" outlineLevel="0" collapsed="false"/>
    <row r="1047482" customFormat="false" ht="12.8" hidden="false" customHeight="false" outlineLevel="0" collapsed="false"/>
    <row r="1047483" customFormat="false" ht="12.8" hidden="false" customHeight="false" outlineLevel="0" collapsed="false"/>
    <row r="1047484" customFormat="false" ht="12.8" hidden="false" customHeight="false" outlineLevel="0" collapsed="false"/>
    <row r="1047485" customFormat="false" ht="12.8" hidden="false" customHeight="false" outlineLevel="0" collapsed="false"/>
    <row r="1047486" customFormat="false" ht="12.8" hidden="false" customHeight="false" outlineLevel="0" collapsed="false"/>
    <row r="1047487" customFormat="false" ht="12.8" hidden="false" customHeight="false" outlineLevel="0" collapsed="false"/>
    <row r="1047488" customFormat="false" ht="12.8" hidden="false" customHeight="false" outlineLevel="0" collapsed="false"/>
    <row r="1047489" customFormat="false" ht="12.8" hidden="false" customHeight="false" outlineLevel="0" collapsed="false"/>
    <row r="1047490" customFormat="false" ht="12.8" hidden="false" customHeight="false" outlineLevel="0" collapsed="false"/>
    <row r="1047491" customFormat="false" ht="12.8" hidden="false" customHeight="false" outlineLevel="0" collapsed="false"/>
    <row r="1047492" customFormat="false" ht="12.8" hidden="false" customHeight="false" outlineLevel="0" collapsed="false"/>
    <row r="1047493" customFormat="false" ht="12.8" hidden="false" customHeight="false" outlineLevel="0" collapsed="false"/>
    <row r="1047494" customFormat="false" ht="12.8" hidden="false" customHeight="false" outlineLevel="0" collapsed="false"/>
    <row r="1047495" customFormat="false" ht="12.8" hidden="false" customHeight="false" outlineLevel="0" collapsed="false"/>
    <row r="1047496" customFormat="false" ht="12.8" hidden="false" customHeight="false" outlineLevel="0" collapsed="false"/>
    <row r="1047497" customFormat="false" ht="12.8" hidden="false" customHeight="false" outlineLevel="0" collapsed="false"/>
    <row r="1047498" customFormat="false" ht="12.8" hidden="false" customHeight="false" outlineLevel="0" collapsed="false"/>
    <row r="1047499" customFormat="false" ht="12.8" hidden="false" customHeight="false" outlineLevel="0" collapsed="false"/>
    <row r="1047500" customFormat="false" ht="12.8" hidden="false" customHeight="false" outlineLevel="0" collapsed="false"/>
    <row r="1047501" customFormat="false" ht="12.8" hidden="false" customHeight="false" outlineLevel="0" collapsed="false"/>
    <row r="1047502" customFormat="false" ht="12.8" hidden="false" customHeight="false" outlineLevel="0" collapsed="false"/>
    <row r="1047503" customFormat="false" ht="12.8" hidden="false" customHeight="false" outlineLevel="0" collapsed="false"/>
    <row r="1047504" customFormat="false" ht="12.8" hidden="false" customHeight="false" outlineLevel="0" collapsed="false"/>
    <row r="1047505" customFormat="false" ht="12.8" hidden="false" customHeight="false" outlineLevel="0" collapsed="false"/>
    <row r="1047506" customFormat="false" ht="12.8" hidden="false" customHeight="false" outlineLevel="0" collapsed="false"/>
    <row r="1047507" customFormat="false" ht="12.8" hidden="false" customHeight="false" outlineLevel="0" collapsed="false"/>
    <row r="1047508" customFormat="false" ht="12.8" hidden="false" customHeight="false" outlineLevel="0" collapsed="false"/>
    <row r="1047509" customFormat="false" ht="12.8" hidden="false" customHeight="false" outlineLevel="0" collapsed="false"/>
    <row r="1047510" customFormat="false" ht="12.8" hidden="false" customHeight="false" outlineLevel="0" collapsed="false"/>
    <row r="1047511" customFormat="false" ht="12.8" hidden="false" customHeight="false" outlineLevel="0" collapsed="false"/>
    <row r="1047512" customFormat="false" ht="12.8" hidden="false" customHeight="false" outlineLevel="0" collapsed="false"/>
    <row r="1047513" customFormat="false" ht="12.8" hidden="false" customHeight="false" outlineLevel="0" collapsed="false"/>
    <row r="1047514" customFormat="false" ht="12.8" hidden="false" customHeight="false" outlineLevel="0" collapsed="false"/>
    <row r="1047515" customFormat="false" ht="12.8" hidden="false" customHeight="false" outlineLevel="0" collapsed="false"/>
    <row r="1047516" customFormat="false" ht="12.8" hidden="false" customHeight="false" outlineLevel="0" collapsed="false"/>
    <row r="1047517" customFormat="false" ht="12.8" hidden="false" customHeight="false" outlineLevel="0" collapsed="false"/>
    <row r="1047518" customFormat="false" ht="12.8" hidden="false" customHeight="false" outlineLevel="0" collapsed="false"/>
    <row r="1047519" customFormat="false" ht="12.8" hidden="false" customHeight="false" outlineLevel="0" collapsed="false"/>
    <row r="1047520" customFormat="false" ht="12.8" hidden="false" customHeight="false" outlineLevel="0" collapsed="false"/>
    <row r="1047521" customFormat="false" ht="12.8" hidden="false" customHeight="false" outlineLevel="0" collapsed="false"/>
    <row r="1047522" customFormat="false" ht="12.8" hidden="false" customHeight="false" outlineLevel="0" collapsed="false"/>
    <row r="1047523" customFormat="false" ht="12.8" hidden="false" customHeight="false" outlineLevel="0" collapsed="false"/>
    <row r="1047524" customFormat="false" ht="12.8" hidden="false" customHeight="false" outlineLevel="0" collapsed="false"/>
    <row r="1047525" customFormat="false" ht="12.8" hidden="false" customHeight="false" outlineLevel="0" collapsed="false"/>
    <row r="1047526" customFormat="false" ht="12.8" hidden="false" customHeight="false" outlineLevel="0" collapsed="false"/>
    <row r="1047527" customFormat="false" ht="12.8" hidden="false" customHeight="false" outlineLevel="0" collapsed="false"/>
    <row r="1047528" customFormat="false" ht="12.8" hidden="false" customHeight="false" outlineLevel="0" collapsed="false"/>
    <row r="1047529" customFormat="false" ht="12.8" hidden="false" customHeight="false" outlineLevel="0" collapsed="false"/>
    <row r="1047530" customFormat="false" ht="12.8" hidden="false" customHeight="false" outlineLevel="0" collapsed="false"/>
    <row r="1047531" customFormat="false" ht="12.8" hidden="false" customHeight="false" outlineLevel="0" collapsed="false"/>
    <row r="1047532" customFormat="false" ht="12.8" hidden="false" customHeight="false" outlineLevel="0" collapsed="false"/>
    <row r="1047533" customFormat="false" ht="12.8" hidden="false" customHeight="false" outlineLevel="0" collapsed="false"/>
    <row r="1047534" customFormat="false" ht="12.8" hidden="false" customHeight="false" outlineLevel="0" collapsed="false"/>
    <row r="1047535" customFormat="false" ht="12.8" hidden="false" customHeight="false" outlineLevel="0" collapsed="false"/>
    <row r="1047536" customFormat="false" ht="12.8" hidden="false" customHeight="false" outlineLevel="0" collapsed="false"/>
    <row r="1047537" customFormat="false" ht="12.8" hidden="false" customHeight="false" outlineLevel="0" collapsed="false"/>
    <row r="1047538" customFormat="false" ht="12.8" hidden="false" customHeight="false" outlineLevel="0" collapsed="false"/>
    <row r="1047539" customFormat="false" ht="12.8" hidden="false" customHeight="false" outlineLevel="0" collapsed="false"/>
    <row r="1047540" customFormat="false" ht="12.8" hidden="false" customHeight="false" outlineLevel="0" collapsed="false"/>
    <row r="1047541" customFormat="false" ht="12.8" hidden="false" customHeight="false" outlineLevel="0" collapsed="false"/>
    <row r="1047542" customFormat="false" ht="12.8" hidden="false" customHeight="false" outlineLevel="0" collapsed="false"/>
    <row r="1047543" customFormat="false" ht="12.8" hidden="false" customHeight="false" outlineLevel="0" collapsed="false"/>
    <row r="1047544" customFormat="false" ht="12.8" hidden="false" customHeight="false" outlineLevel="0" collapsed="false"/>
    <row r="1047545" customFormat="false" ht="12.8" hidden="false" customHeight="false" outlineLevel="0" collapsed="false"/>
    <row r="1047546" customFormat="false" ht="12.8" hidden="false" customHeight="false" outlineLevel="0" collapsed="false"/>
    <row r="1047547" customFormat="false" ht="12.8" hidden="false" customHeight="false" outlineLevel="0" collapsed="false"/>
    <row r="1047548" customFormat="false" ht="12.8" hidden="false" customHeight="false" outlineLevel="0" collapsed="false"/>
    <row r="1047549" customFormat="false" ht="12.8" hidden="false" customHeight="false" outlineLevel="0" collapsed="false"/>
    <row r="1047550" customFormat="false" ht="12.8" hidden="false" customHeight="false" outlineLevel="0" collapsed="false"/>
    <row r="1047551" customFormat="false" ht="12.8" hidden="false" customHeight="false" outlineLevel="0" collapsed="false"/>
    <row r="1047552" customFormat="false" ht="12.8" hidden="false" customHeight="false" outlineLevel="0" collapsed="false"/>
    <row r="1047553" customFormat="false" ht="12.8" hidden="false" customHeight="false" outlineLevel="0" collapsed="false"/>
    <row r="1047554" customFormat="false" ht="12.8" hidden="false" customHeight="false" outlineLevel="0" collapsed="false"/>
    <row r="1047555" customFormat="false" ht="12.8" hidden="false" customHeight="false" outlineLevel="0" collapsed="false"/>
    <row r="1047556" customFormat="false" ht="12.8" hidden="false" customHeight="false" outlineLevel="0" collapsed="false"/>
    <row r="1047557" customFormat="false" ht="12.8" hidden="false" customHeight="false" outlineLevel="0" collapsed="false"/>
    <row r="1047558" customFormat="false" ht="12.8" hidden="false" customHeight="false" outlineLevel="0" collapsed="false"/>
    <row r="1047559" customFormat="false" ht="12.8" hidden="false" customHeight="false" outlineLevel="0" collapsed="false"/>
    <row r="1047560" customFormat="false" ht="12.8" hidden="false" customHeight="false" outlineLevel="0" collapsed="false"/>
    <row r="1047561" customFormat="false" ht="12.8" hidden="false" customHeight="false" outlineLevel="0" collapsed="false"/>
    <row r="1047562" customFormat="false" ht="12.8" hidden="false" customHeight="false" outlineLevel="0" collapsed="false"/>
    <row r="1047563" customFormat="false" ht="12.8" hidden="false" customHeight="false" outlineLevel="0" collapsed="false"/>
    <row r="1047564" customFormat="false" ht="12.8" hidden="false" customHeight="false" outlineLevel="0" collapsed="false"/>
    <row r="1047565" customFormat="false" ht="12.8" hidden="false" customHeight="false" outlineLevel="0" collapsed="false"/>
    <row r="1047566" customFormat="false" ht="12.8" hidden="false" customHeight="false" outlineLevel="0" collapsed="false"/>
    <row r="1047567" customFormat="false" ht="12.8" hidden="false" customHeight="false" outlineLevel="0" collapsed="false"/>
    <row r="1047568" customFormat="false" ht="12.8" hidden="false" customHeight="false" outlineLevel="0" collapsed="false"/>
    <row r="1047569" customFormat="false" ht="12.8" hidden="false" customHeight="false" outlineLevel="0" collapsed="false"/>
    <row r="1047570" customFormat="false" ht="12.8" hidden="false" customHeight="false" outlineLevel="0" collapsed="false"/>
    <row r="1047571" customFormat="false" ht="12.8" hidden="false" customHeight="false" outlineLevel="0" collapsed="false"/>
    <row r="1047572" customFormat="false" ht="12.8" hidden="false" customHeight="false" outlineLevel="0" collapsed="false"/>
    <row r="1047573" customFormat="false" ht="12.8" hidden="false" customHeight="false" outlineLevel="0" collapsed="false"/>
    <row r="1047574" customFormat="false" ht="12.8" hidden="false" customHeight="false" outlineLevel="0" collapsed="false"/>
    <row r="1047575" customFormat="false" ht="12.8" hidden="false" customHeight="false" outlineLevel="0" collapsed="false"/>
    <row r="1047576" customFormat="false" ht="12.8" hidden="false" customHeight="false" outlineLevel="0" collapsed="false"/>
    <row r="1047577" customFormat="false" ht="12.8" hidden="false" customHeight="false" outlineLevel="0" collapsed="false"/>
    <row r="1047578" customFormat="false" ht="12.8" hidden="false" customHeight="false" outlineLevel="0" collapsed="false"/>
    <row r="1047579" customFormat="false" ht="12.8" hidden="false" customHeight="false" outlineLevel="0" collapsed="false"/>
    <row r="1047580" customFormat="false" ht="12.8" hidden="false" customHeight="false" outlineLevel="0" collapsed="false"/>
    <row r="1047581" customFormat="false" ht="12.8" hidden="false" customHeight="false" outlineLevel="0" collapsed="false"/>
    <row r="1047582" customFormat="false" ht="12.8" hidden="false" customHeight="false" outlineLevel="0" collapsed="false"/>
    <row r="1047583" customFormat="false" ht="12.8" hidden="false" customHeight="false" outlineLevel="0" collapsed="false"/>
    <row r="1047584" customFormat="false" ht="12.8" hidden="false" customHeight="false" outlineLevel="0" collapsed="false"/>
    <row r="1047585" customFormat="false" ht="12.8" hidden="false" customHeight="false" outlineLevel="0" collapsed="false"/>
    <row r="1047586" customFormat="false" ht="12.8" hidden="false" customHeight="false" outlineLevel="0" collapsed="false"/>
    <row r="1047587" customFormat="false" ht="12.8" hidden="false" customHeight="false" outlineLevel="0" collapsed="false"/>
    <row r="1047588" customFormat="false" ht="12.8" hidden="false" customHeight="false" outlineLevel="0" collapsed="false"/>
    <row r="1047589" customFormat="false" ht="12.8" hidden="false" customHeight="false" outlineLevel="0" collapsed="false"/>
    <row r="1047590" customFormat="false" ht="12.8" hidden="false" customHeight="false" outlineLevel="0" collapsed="false"/>
    <row r="1047591" customFormat="false" ht="12.8" hidden="false" customHeight="false" outlineLevel="0" collapsed="false"/>
    <row r="1047592" customFormat="false" ht="12.8" hidden="false" customHeight="false" outlineLevel="0" collapsed="false"/>
    <row r="1047593" customFormat="false" ht="12.8" hidden="false" customHeight="false" outlineLevel="0" collapsed="false"/>
    <row r="1047594" customFormat="false" ht="12.8" hidden="false" customHeight="false" outlineLevel="0" collapsed="false"/>
    <row r="1047595" customFormat="false" ht="12.8" hidden="false" customHeight="false" outlineLevel="0" collapsed="false"/>
    <row r="1047596" customFormat="false" ht="12.8" hidden="false" customHeight="false" outlineLevel="0" collapsed="false"/>
    <row r="1047597" customFormat="false" ht="12.8" hidden="false" customHeight="false" outlineLevel="0" collapsed="false"/>
    <row r="1047598" customFormat="false" ht="12.8" hidden="false" customHeight="false" outlineLevel="0" collapsed="false"/>
    <row r="1047599" customFormat="false" ht="12.8" hidden="false" customHeight="false" outlineLevel="0" collapsed="false"/>
    <row r="1047600" customFormat="false" ht="12.8" hidden="false" customHeight="false" outlineLevel="0" collapsed="false"/>
    <row r="1047601" customFormat="false" ht="12.8" hidden="false" customHeight="false" outlineLevel="0" collapsed="false"/>
    <row r="1047602" customFormat="false" ht="12.8" hidden="false" customHeight="false" outlineLevel="0" collapsed="false"/>
    <row r="1047603" customFormat="false" ht="12.8" hidden="false" customHeight="false" outlineLevel="0" collapsed="false"/>
    <row r="1047604" customFormat="false" ht="12.8" hidden="false" customHeight="false" outlineLevel="0" collapsed="false"/>
    <row r="1047605" customFormat="false" ht="12.8" hidden="false" customHeight="false" outlineLevel="0" collapsed="false"/>
    <row r="1047606" customFormat="false" ht="12.8" hidden="false" customHeight="false" outlineLevel="0" collapsed="false"/>
    <row r="1047607" customFormat="false" ht="12.8" hidden="false" customHeight="false" outlineLevel="0" collapsed="false"/>
    <row r="1047608" customFormat="false" ht="12.8" hidden="false" customHeight="false" outlineLevel="0" collapsed="false"/>
    <row r="1047609" customFormat="false" ht="12.8" hidden="false" customHeight="false" outlineLevel="0" collapsed="false"/>
    <row r="1047610" customFormat="false" ht="12.8" hidden="false" customHeight="false" outlineLevel="0" collapsed="false"/>
    <row r="1047611" customFormat="false" ht="12.8" hidden="false" customHeight="false" outlineLevel="0" collapsed="false"/>
    <row r="1047612" customFormat="false" ht="12.8" hidden="false" customHeight="false" outlineLevel="0" collapsed="false"/>
    <row r="1047613" customFormat="false" ht="12.8" hidden="false" customHeight="false" outlineLevel="0" collapsed="false"/>
    <row r="1047614" customFormat="false" ht="12.8" hidden="false" customHeight="false" outlineLevel="0" collapsed="false"/>
    <row r="1047615" customFormat="false" ht="12.8" hidden="false" customHeight="false" outlineLevel="0" collapsed="false"/>
    <row r="1047616" customFormat="false" ht="12.8" hidden="false" customHeight="false" outlineLevel="0" collapsed="false"/>
    <row r="1047617" customFormat="false" ht="12.8" hidden="false" customHeight="false" outlineLevel="0" collapsed="false"/>
    <row r="1047618" customFormat="false" ht="12.8" hidden="false" customHeight="false" outlineLevel="0" collapsed="false"/>
    <row r="1047619" customFormat="false" ht="12.8" hidden="false" customHeight="false" outlineLevel="0" collapsed="false"/>
    <row r="1047620" customFormat="false" ht="12.8" hidden="false" customHeight="false" outlineLevel="0" collapsed="false"/>
    <row r="1047621" customFormat="false" ht="12.8" hidden="false" customHeight="false" outlineLevel="0" collapsed="false"/>
    <row r="1047622" customFormat="false" ht="12.8" hidden="false" customHeight="false" outlineLevel="0" collapsed="false"/>
    <row r="1047623" customFormat="false" ht="12.8" hidden="false" customHeight="false" outlineLevel="0" collapsed="false"/>
    <row r="1047624" customFormat="false" ht="12.8" hidden="false" customHeight="false" outlineLevel="0" collapsed="false"/>
    <row r="1047625" customFormat="false" ht="12.8" hidden="false" customHeight="false" outlineLevel="0" collapsed="false"/>
    <row r="1047626" customFormat="false" ht="12.8" hidden="false" customHeight="false" outlineLevel="0" collapsed="false"/>
    <row r="1047627" customFormat="false" ht="12.8" hidden="false" customHeight="false" outlineLevel="0" collapsed="false"/>
    <row r="1047628" customFormat="false" ht="12.8" hidden="false" customHeight="false" outlineLevel="0" collapsed="false"/>
    <row r="1047629" customFormat="false" ht="12.8" hidden="false" customHeight="false" outlineLevel="0" collapsed="false"/>
    <row r="1047630" customFormat="false" ht="12.8" hidden="false" customHeight="false" outlineLevel="0" collapsed="false"/>
    <row r="1047631" customFormat="false" ht="12.8" hidden="false" customHeight="false" outlineLevel="0" collapsed="false"/>
    <row r="1047632" customFormat="false" ht="12.8" hidden="false" customHeight="false" outlineLevel="0" collapsed="false"/>
    <row r="1047633" customFormat="false" ht="12.8" hidden="false" customHeight="false" outlineLevel="0" collapsed="false"/>
    <row r="1047634" customFormat="false" ht="12.8" hidden="false" customHeight="false" outlineLevel="0" collapsed="false"/>
    <row r="1047635" customFormat="false" ht="12.8" hidden="false" customHeight="false" outlineLevel="0" collapsed="false"/>
    <row r="1047636" customFormat="false" ht="12.8" hidden="false" customHeight="false" outlineLevel="0" collapsed="false"/>
    <row r="1047637" customFormat="false" ht="12.8" hidden="false" customHeight="false" outlineLevel="0" collapsed="false"/>
    <row r="1047638" customFormat="false" ht="12.8" hidden="false" customHeight="false" outlineLevel="0" collapsed="false"/>
    <row r="1047639" customFormat="false" ht="12.8" hidden="false" customHeight="false" outlineLevel="0" collapsed="false"/>
    <row r="1047640" customFormat="false" ht="12.8" hidden="false" customHeight="false" outlineLevel="0" collapsed="false"/>
    <row r="1047641" customFormat="false" ht="12.8" hidden="false" customHeight="false" outlineLevel="0" collapsed="false"/>
    <row r="1047642" customFormat="false" ht="12.8" hidden="false" customHeight="false" outlineLevel="0" collapsed="false"/>
    <row r="1047643" customFormat="false" ht="12.8" hidden="false" customHeight="false" outlineLevel="0" collapsed="false"/>
    <row r="1047644" customFormat="false" ht="12.8" hidden="false" customHeight="false" outlineLevel="0" collapsed="false"/>
    <row r="1047645" customFormat="false" ht="12.8" hidden="false" customHeight="false" outlineLevel="0" collapsed="false"/>
    <row r="1047646" customFormat="false" ht="12.8" hidden="false" customHeight="false" outlineLevel="0" collapsed="false"/>
    <row r="1047647" customFormat="false" ht="12.8" hidden="false" customHeight="false" outlineLevel="0" collapsed="false"/>
    <row r="1047648" customFormat="false" ht="12.8" hidden="false" customHeight="false" outlineLevel="0" collapsed="false"/>
    <row r="1047649" customFormat="false" ht="12.8" hidden="false" customHeight="false" outlineLevel="0" collapsed="false"/>
    <row r="1047650" customFormat="false" ht="12.8" hidden="false" customHeight="false" outlineLevel="0" collapsed="false"/>
    <row r="1047651" customFormat="false" ht="12.8" hidden="false" customHeight="false" outlineLevel="0" collapsed="false"/>
    <row r="1047652" customFormat="false" ht="12.8" hidden="false" customHeight="false" outlineLevel="0" collapsed="false"/>
    <row r="1047653" customFormat="false" ht="12.8" hidden="false" customHeight="false" outlineLevel="0" collapsed="false"/>
    <row r="1047654" customFormat="false" ht="12.8" hidden="false" customHeight="false" outlineLevel="0" collapsed="false"/>
    <row r="1047655" customFormat="false" ht="12.8" hidden="false" customHeight="false" outlineLevel="0" collapsed="false"/>
    <row r="1047656" customFormat="false" ht="12.8" hidden="false" customHeight="false" outlineLevel="0" collapsed="false"/>
    <row r="1047657" customFormat="false" ht="12.8" hidden="false" customHeight="false" outlineLevel="0" collapsed="false"/>
    <row r="1047658" customFormat="false" ht="12.8" hidden="false" customHeight="false" outlineLevel="0" collapsed="false"/>
    <row r="1047659" customFormat="false" ht="12.8" hidden="false" customHeight="false" outlineLevel="0" collapsed="false"/>
    <row r="1047660" customFormat="false" ht="12.8" hidden="false" customHeight="false" outlineLevel="0" collapsed="false"/>
    <row r="1047661" customFormat="false" ht="12.8" hidden="false" customHeight="false" outlineLevel="0" collapsed="false"/>
    <row r="1047662" customFormat="false" ht="12.8" hidden="false" customHeight="false" outlineLevel="0" collapsed="false"/>
    <row r="1047663" customFormat="false" ht="12.8" hidden="false" customHeight="false" outlineLevel="0" collapsed="false"/>
    <row r="1047664" customFormat="false" ht="12.8" hidden="false" customHeight="false" outlineLevel="0" collapsed="false"/>
    <row r="1047665" customFormat="false" ht="12.8" hidden="false" customHeight="false" outlineLevel="0" collapsed="false"/>
    <row r="1047666" customFormat="false" ht="12.8" hidden="false" customHeight="false" outlineLevel="0" collapsed="false"/>
    <row r="1047667" customFormat="false" ht="12.8" hidden="false" customHeight="false" outlineLevel="0" collapsed="false"/>
    <row r="1047668" customFormat="false" ht="12.8" hidden="false" customHeight="false" outlineLevel="0" collapsed="false"/>
    <row r="1047669" customFormat="false" ht="12.8" hidden="false" customHeight="false" outlineLevel="0" collapsed="false"/>
    <row r="1047670" customFormat="false" ht="12.8" hidden="false" customHeight="false" outlineLevel="0" collapsed="false"/>
    <row r="1047671" customFormat="false" ht="12.8" hidden="false" customHeight="false" outlineLevel="0" collapsed="false"/>
    <row r="1047672" customFormat="false" ht="12.8" hidden="false" customHeight="false" outlineLevel="0" collapsed="false"/>
    <row r="1047673" customFormat="false" ht="12.8" hidden="false" customHeight="false" outlineLevel="0" collapsed="false"/>
    <row r="1047674" customFormat="false" ht="12.8" hidden="false" customHeight="false" outlineLevel="0" collapsed="false"/>
    <row r="1047675" customFormat="false" ht="12.8" hidden="false" customHeight="false" outlineLevel="0" collapsed="false"/>
    <row r="1047676" customFormat="false" ht="12.8" hidden="false" customHeight="false" outlineLevel="0" collapsed="false"/>
    <row r="1047677" customFormat="false" ht="12.8" hidden="false" customHeight="false" outlineLevel="0" collapsed="false"/>
    <row r="1047678" customFormat="false" ht="12.8" hidden="false" customHeight="false" outlineLevel="0" collapsed="false"/>
    <row r="1047679" customFormat="false" ht="12.8" hidden="false" customHeight="false" outlineLevel="0" collapsed="false"/>
    <row r="1047680" customFormat="false" ht="12.8" hidden="false" customHeight="false" outlineLevel="0" collapsed="false"/>
    <row r="1047681" customFormat="false" ht="12.8" hidden="false" customHeight="false" outlineLevel="0" collapsed="false"/>
    <row r="1047682" customFormat="false" ht="12.8" hidden="false" customHeight="false" outlineLevel="0" collapsed="false"/>
    <row r="1047683" customFormat="false" ht="12.8" hidden="false" customHeight="false" outlineLevel="0" collapsed="false"/>
    <row r="1047684" customFormat="false" ht="12.8" hidden="false" customHeight="false" outlineLevel="0" collapsed="false"/>
    <row r="1047685" customFormat="false" ht="12.8" hidden="false" customHeight="false" outlineLevel="0" collapsed="false"/>
    <row r="1047686" customFormat="false" ht="12.8" hidden="false" customHeight="false" outlineLevel="0" collapsed="false"/>
    <row r="1047687" customFormat="false" ht="12.8" hidden="false" customHeight="false" outlineLevel="0" collapsed="false"/>
    <row r="1047688" customFormat="false" ht="12.8" hidden="false" customHeight="false" outlineLevel="0" collapsed="false"/>
    <row r="1047689" customFormat="false" ht="12.8" hidden="false" customHeight="false" outlineLevel="0" collapsed="false"/>
    <row r="1047690" customFormat="false" ht="12.8" hidden="false" customHeight="false" outlineLevel="0" collapsed="false"/>
    <row r="1047691" customFormat="false" ht="12.8" hidden="false" customHeight="false" outlineLevel="0" collapsed="false"/>
    <row r="1047692" customFormat="false" ht="12.8" hidden="false" customHeight="false" outlineLevel="0" collapsed="false"/>
    <row r="1047693" customFormat="false" ht="12.8" hidden="false" customHeight="false" outlineLevel="0" collapsed="false"/>
    <row r="1047694" customFormat="false" ht="12.8" hidden="false" customHeight="false" outlineLevel="0" collapsed="false"/>
    <row r="1047695" customFormat="false" ht="12.8" hidden="false" customHeight="false" outlineLevel="0" collapsed="false"/>
    <row r="1047696" customFormat="false" ht="12.8" hidden="false" customHeight="false" outlineLevel="0" collapsed="false"/>
    <row r="1047697" customFormat="false" ht="12.8" hidden="false" customHeight="false" outlineLevel="0" collapsed="false"/>
    <row r="1047698" customFormat="false" ht="12.8" hidden="false" customHeight="false" outlineLevel="0" collapsed="false"/>
    <row r="1047699" customFormat="false" ht="12.8" hidden="false" customHeight="false" outlineLevel="0" collapsed="false"/>
    <row r="1047700" customFormat="false" ht="12.8" hidden="false" customHeight="false" outlineLevel="0" collapsed="false"/>
    <row r="1047701" customFormat="false" ht="12.8" hidden="false" customHeight="false" outlineLevel="0" collapsed="false"/>
    <row r="1047702" customFormat="false" ht="12.8" hidden="false" customHeight="false" outlineLevel="0" collapsed="false"/>
    <row r="1047703" customFormat="false" ht="12.8" hidden="false" customHeight="false" outlineLevel="0" collapsed="false"/>
    <row r="1047704" customFormat="false" ht="12.8" hidden="false" customHeight="false" outlineLevel="0" collapsed="false"/>
    <row r="1047705" customFormat="false" ht="12.8" hidden="false" customHeight="false" outlineLevel="0" collapsed="false"/>
    <row r="1047706" customFormat="false" ht="12.8" hidden="false" customHeight="false" outlineLevel="0" collapsed="false"/>
    <row r="1047707" customFormat="false" ht="12.8" hidden="false" customHeight="false" outlineLevel="0" collapsed="false"/>
    <row r="1047708" customFormat="false" ht="12.8" hidden="false" customHeight="false" outlineLevel="0" collapsed="false"/>
    <row r="1047709" customFormat="false" ht="12.8" hidden="false" customHeight="false" outlineLevel="0" collapsed="false"/>
    <row r="1047710" customFormat="false" ht="12.8" hidden="false" customHeight="false" outlineLevel="0" collapsed="false"/>
    <row r="1047711" customFormat="false" ht="12.8" hidden="false" customHeight="false" outlineLevel="0" collapsed="false"/>
    <row r="1047712" customFormat="false" ht="12.8" hidden="false" customHeight="false" outlineLevel="0" collapsed="false"/>
    <row r="1047713" customFormat="false" ht="12.8" hidden="false" customHeight="false" outlineLevel="0" collapsed="false"/>
    <row r="1047714" customFormat="false" ht="12.8" hidden="false" customHeight="false" outlineLevel="0" collapsed="false"/>
    <row r="1047715" customFormat="false" ht="12.8" hidden="false" customHeight="false" outlineLevel="0" collapsed="false"/>
    <row r="1047716" customFormat="false" ht="12.8" hidden="false" customHeight="false" outlineLevel="0" collapsed="false"/>
    <row r="1047717" customFormat="false" ht="12.8" hidden="false" customHeight="false" outlineLevel="0" collapsed="false"/>
    <row r="1047718" customFormat="false" ht="12.8" hidden="false" customHeight="false" outlineLevel="0" collapsed="false"/>
    <row r="1047719" customFormat="false" ht="12.8" hidden="false" customHeight="false" outlineLevel="0" collapsed="false"/>
    <row r="1047720" customFormat="false" ht="12.8" hidden="false" customHeight="false" outlineLevel="0" collapsed="false"/>
    <row r="1047721" customFormat="false" ht="12.8" hidden="false" customHeight="false" outlineLevel="0" collapsed="false"/>
    <row r="1047722" customFormat="false" ht="12.8" hidden="false" customHeight="false" outlineLevel="0" collapsed="false"/>
    <row r="1047723" customFormat="false" ht="12.8" hidden="false" customHeight="false" outlineLevel="0" collapsed="false"/>
    <row r="1047724" customFormat="false" ht="12.8" hidden="false" customHeight="false" outlineLevel="0" collapsed="false"/>
    <row r="1047725" customFormat="false" ht="12.8" hidden="false" customHeight="false" outlineLevel="0" collapsed="false"/>
    <row r="1047726" customFormat="false" ht="12.8" hidden="false" customHeight="false" outlineLevel="0" collapsed="false"/>
    <row r="1047727" customFormat="false" ht="12.8" hidden="false" customHeight="false" outlineLevel="0" collapsed="false"/>
    <row r="1047728" customFormat="false" ht="12.8" hidden="false" customHeight="false" outlineLevel="0" collapsed="false"/>
    <row r="1047729" customFormat="false" ht="12.8" hidden="false" customHeight="false" outlineLevel="0" collapsed="false"/>
    <row r="1047730" customFormat="false" ht="12.8" hidden="false" customHeight="false" outlineLevel="0" collapsed="false"/>
    <row r="1047731" customFormat="false" ht="12.8" hidden="false" customHeight="false" outlineLevel="0" collapsed="false"/>
    <row r="1047732" customFormat="false" ht="12.8" hidden="false" customHeight="false" outlineLevel="0" collapsed="false"/>
    <row r="1047733" customFormat="false" ht="12.8" hidden="false" customHeight="false" outlineLevel="0" collapsed="false"/>
    <row r="1047734" customFormat="false" ht="12.8" hidden="false" customHeight="false" outlineLevel="0" collapsed="false"/>
    <row r="1047735" customFormat="false" ht="12.8" hidden="false" customHeight="false" outlineLevel="0" collapsed="false"/>
    <row r="1047736" customFormat="false" ht="12.8" hidden="false" customHeight="false" outlineLevel="0" collapsed="false"/>
    <row r="1047737" customFormat="false" ht="12.8" hidden="false" customHeight="false" outlineLevel="0" collapsed="false"/>
    <row r="1047738" customFormat="false" ht="12.8" hidden="false" customHeight="false" outlineLevel="0" collapsed="false"/>
    <row r="1047739" customFormat="false" ht="12.8" hidden="false" customHeight="false" outlineLevel="0" collapsed="false"/>
    <row r="1047740" customFormat="false" ht="12.8" hidden="false" customHeight="false" outlineLevel="0" collapsed="false"/>
    <row r="1047741" customFormat="false" ht="12.8" hidden="false" customHeight="false" outlineLevel="0" collapsed="false"/>
    <row r="1047742" customFormat="false" ht="12.8" hidden="false" customHeight="false" outlineLevel="0" collapsed="false"/>
    <row r="1047743" customFormat="false" ht="12.8" hidden="false" customHeight="false" outlineLevel="0" collapsed="false"/>
    <row r="1047744" customFormat="false" ht="12.8" hidden="false" customHeight="false" outlineLevel="0" collapsed="false"/>
    <row r="1047745" customFormat="false" ht="12.8" hidden="false" customHeight="false" outlineLevel="0" collapsed="false"/>
    <row r="1047746" customFormat="false" ht="12.8" hidden="false" customHeight="false" outlineLevel="0" collapsed="false"/>
    <row r="1047747" customFormat="false" ht="12.8" hidden="false" customHeight="false" outlineLevel="0" collapsed="false"/>
    <row r="1047748" customFormat="false" ht="12.8" hidden="false" customHeight="false" outlineLevel="0" collapsed="false"/>
    <row r="1047749" customFormat="false" ht="12.8" hidden="false" customHeight="false" outlineLevel="0" collapsed="false"/>
    <row r="1047750" customFormat="false" ht="12.8" hidden="false" customHeight="false" outlineLevel="0" collapsed="false"/>
    <row r="1047751" customFormat="false" ht="12.8" hidden="false" customHeight="false" outlineLevel="0" collapsed="false"/>
    <row r="1047752" customFormat="false" ht="12.8" hidden="false" customHeight="false" outlineLevel="0" collapsed="false"/>
    <row r="1047753" customFormat="false" ht="12.8" hidden="false" customHeight="false" outlineLevel="0" collapsed="false"/>
    <row r="1047754" customFormat="false" ht="12.8" hidden="false" customHeight="false" outlineLevel="0" collapsed="false"/>
    <row r="1047755" customFormat="false" ht="12.8" hidden="false" customHeight="false" outlineLevel="0" collapsed="false"/>
    <row r="1047756" customFormat="false" ht="12.8" hidden="false" customHeight="false" outlineLevel="0" collapsed="false"/>
    <row r="1047757" customFormat="false" ht="12.8" hidden="false" customHeight="false" outlineLevel="0" collapsed="false"/>
    <row r="1047758" customFormat="false" ht="12.8" hidden="false" customHeight="false" outlineLevel="0" collapsed="false"/>
    <row r="1047759" customFormat="false" ht="12.8" hidden="false" customHeight="false" outlineLevel="0" collapsed="false"/>
    <row r="1047760" customFormat="false" ht="12.8" hidden="false" customHeight="false" outlineLevel="0" collapsed="false"/>
    <row r="1047761" customFormat="false" ht="12.8" hidden="false" customHeight="false" outlineLevel="0" collapsed="false"/>
    <row r="1047762" customFormat="false" ht="12.8" hidden="false" customHeight="false" outlineLevel="0" collapsed="false"/>
    <row r="1047763" customFormat="false" ht="12.8" hidden="false" customHeight="false" outlineLevel="0" collapsed="false"/>
    <row r="1047764" customFormat="false" ht="12.8" hidden="false" customHeight="false" outlineLevel="0" collapsed="false"/>
    <row r="1047765" customFormat="false" ht="12.8" hidden="false" customHeight="false" outlineLevel="0" collapsed="false"/>
    <row r="1047766" customFormat="false" ht="12.8" hidden="false" customHeight="false" outlineLevel="0" collapsed="false"/>
    <row r="1047767" customFormat="false" ht="12.8" hidden="false" customHeight="false" outlineLevel="0" collapsed="false"/>
    <row r="1047768" customFormat="false" ht="12.8" hidden="false" customHeight="false" outlineLevel="0" collapsed="false"/>
    <row r="1047769" customFormat="false" ht="12.8" hidden="false" customHeight="false" outlineLevel="0" collapsed="false"/>
    <row r="1047770" customFormat="false" ht="12.8" hidden="false" customHeight="false" outlineLevel="0" collapsed="false"/>
    <row r="1047771" customFormat="false" ht="12.8" hidden="false" customHeight="false" outlineLevel="0" collapsed="false"/>
    <row r="1047772" customFormat="false" ht="12.8" hidden="false" customHeight="false" outlineLevel="0" collapsed="false"/>
    <row r="1047773" customFormat="false" ht="12.8" hidden="false" customHeight="false" outlineLevel="0" collapsed="false"/>
    <row r="1047774" customFormat="false" ht="12.8" hidden="false" customHeight="false" outlineLevel="0" collapsed="false"/>
    <row r="1047775" customFormat="false" ht="12.8" hidden="false" customHeight="false" outlineLevel="0" collapsed="false"/>
    <row r="1047776" customFormat="false" ht="12.8" hidden="false" customHeight="false" outlineLevel="0" collapsed="false"/>
    <row r="1047777" customFormat="false" ht="12.8" hidden="false" customHeight="false" outlineLevel="0" collapsed="false"/>
    <row r="1047778" customFormat="false" ht="12.8" hidden="false" customHeight="false" outlineLevel="0" collapsed="false"/>
    <row r="1047779" customFormat="false" ht="12.8" hidden="false" customHeight="false" outlineLevel="0" collapsed="false"/>
    <row r="1047780" customFormat="false" ht="12.8" hidden="false" customHeight="false" outlineLevel="0" collapsed="false"/>
    <row r="1047781" customFormat="false" ht="12.8" hidden="false" customHeight="false" outlineLevel="0" collapsed="false"/>
    <row r="1047782" customFormat="false" ht="12.8" hidden="false" customHeight="false" outlineLevel="0" collapsed="false"/>
    <row r="1047783" customFormat="false" ht="12.8" hidden="false" customHeight="false" outlineLevel="0" collapsed="false"/>
    <row r="1047784" customFormat="false" ht="12.8" hidden="false" customHeight="false" outlineLevel="0" collapsed="false"/>
    <row r="1047785" customFormat="false" ht="12.8" hidden="false" customHeight="false" outlineLevel="0" collapsed="false"/>
    <row r="1047786" customFormat="false" ht="12.8" hidden="false" customHeight="false" outlineLevel="0" collapsed="false"/>
    <row r="1047787" customFormat="false" ht="12.8" hidden="false" customHeight="false" outlineLevel="0" collapsed="false"/>
    <row r="1047788" customFormat="false" ht="12.8" hidden="false" customHeight="false" outlineLevel="0" collapsed="false"/>
    <row r="1047789" customFormat="false" ht="12.8" hidden="false" customHeight="false" outlineLevel="0" collapsed="false"/>
    <row r="1047790" customFormat="false" ht="12.8" hidden="false" customHeight="false" outlineLevel="0" collapsed="false"/>
    <row r="1047791" customFormat="false" ht="12.8" hidden="false" customHeight="false" outlineLevel="0" collapsed="false"/>
    <row r="1047792" customFormat="false" ht="12.8" hidden="false" customHeight="false" outlineLevel="0" collapsed="false"/>
    <row r="1047793" customFormat="false" ht="12.8" hidden="false" customHeight="false" outlineLevel="0" collapsed="false"/>
    <row r="1047794" customFormat="false" ht="12.8" hidden="false" customHeight="false" outlineLevel="0" collapsed="false"/>
    <row r="1047795" customFormat="false" ht="12.8" hidden="false" customHeight="false" outlineLevel="0" collapsed="false"/>
    <row r="1047796" customFormat="false" ht="12.8" hidden="false" customHeight="false" outlineLevel="0" collapsed="false"/>
    <row r="1047797" customFormat="false" ht="12.8" hidden="false" customHeight="false" outlineLevel="0" collapsed="false"/>
    <row r="1047798" customFormat="false" ht="12.8" hidden="false" customHeight="false" outlineLevel="0" collapsed="false"/>
    <row r="1047799" customFormat="false" ht="12.8" hidden="false" customHeight="false" outlineLevel="0" collapsed="false"/>
    <row r="1047800" customFormat="false" ht="12.8" hidden="false" customHeight="false" outlineLevel="0" collapsed="false"/>
    <row r="1047801" customFormat="false" ht="12.8" hidden="false" customHeight="false" outlineLevel="0" collapsed="false"/>
    <row r="1047802" customFormat="false" ht="12.8" hidden="false" customHeight="false" outlineLevel="0" collapsed="false"/>
    <row r="1047803" customFormat="false" ht="12.8" hidden="false" customHeight="false" outlineLevel="0" collapsed="false"/>
    <row r="1047804" customFormat="false" ht="12.8" hidden="false" customHeight="false" outlineLevel="0" collapsed="false"/>
    <row r="1047805" customFormat="false" ht="12.8" hidden="false" customHeight="false" outlineLevel="0" collapsed="false"/>
    <row r="1047806" customFormat="false" ht="12.8" hidden="false" customHeight="false" outlineLevel="0" collapsed="false"/>
    <row r="1047807" customFormat="false" ht="12.8" hidden="false" customHeight="false" outlineLevel="0" collapsed="false"/>
    <row r="1047808" customFormat="false" ht="12.8" hidden="false" customHeight="false" outlineLevel="0" collapsed="false"/>
    <row r="1047809" customFormat="false" ht="12.8" hidden="false" customHeight="false" outlineLevel="0" collapsed="false"/>
    <row r="1047810" customFormat="false" ht="12.8" hidden="false" customHeight="false" outlineLevel="0" collapsed="false"/>
    <row r="1047811" customFormat="false" ht="12.8" hidden="false" customHeight="false" outlineLevel="0" collapsed="false"/>
    <row r="1047812" customFormat="false" ht="12.8" hidden="false" customHeight="false" outlineLevel="0" collapsed="false"/>
    <row r="1047813" customFormat="false" ht="12.8" hidden="false" customHeight="false" outlineLevel="0" collapsed="false"/>
    <row r="1047814" customFormat="false" ht="12.8" hidden="false" customHeight="false" outlineLevel="0" collapsed="false"/>
    <row r="1047815" customFormat="false" ht="12.8" hidden="false" customHeight="false" outlineLevel="0" collapsed="false"/>
    <row r="1047816" customFormat="false" ht="12.8" hidden="false" customHeight="false" outlineLevel="0" collapsed="false"/>
    <row r="1047817" customFormat="false" ht="12.8" hidden="false" customHeight="false" outlineLevel="0" collapsed="false"/>
    <row r="1047818" customFormat="false" ht="12.8" hidden="false" customHeight="false" outlineLevel="0" collapsed="false"/>
    <row r="1047819" customFormat="false" ht="12.8" hidden="false" customHeight="false" outlineLevel="0" collapsed="false"/>
    <row r="1047820" customFormat="false" ht="12.8" hidden="false" customHeight="false" outlineLevel="0" collapsed="false"/>
    <row r="1047821" customFormat="false" ht="12.8" hidden="false" customHeight="false" outlineLevel="0" collapsed="false"/>
    <row r="1047822" customFormat="false" ht="12.8" hidden="false" customHeight="false" outlineLevel="0" collapsed="false"/>
    <row r="1047823" customFormat="false" ht="12.8" hidden="false" customHeight="false" outlineLevel="0" collapsed="false"/>
    <row r="1047824" customFormat="false" ht="12.8" hidden="false" customHeight="false" outlineLevel="0" collapsed="false"/>
    <row r="1047825" customFormat="false" ht="12.8" hidden="false" customHeight="false" outlineLevel="0" collapsed="false"/>
    <row r="1047826" customFormat="false" ht="12.8" hidden="false" customHeight="false" outlineLevel="0" collapsed="false"/>
    <row r="1047827" customFormat="false" ht="12.8" hidden="false" customHeight="false" outlineLevel="0" collapsed="false"/>
    <row r="1047828" customFormat="false" ht="12.8" hidden="false" customHeight="false" outlineLevel="0" collapsed="false"/>
    <row r="1047829" customFormat="false" ht="12.8" hidden="false" customHeight="false" outlineLevel="0" collapsed="false"/>
    <row r="1047830" customFormat="false" ht="12.8" hidden="false" customHeight="false" outlineLevel="0" collapsed="false"/>
    <row r="1047831" customFormat="false" ht="12.8" hidden="false" customHeight="false" outlineLevel="0" collapsed="false"/>
    <row r="1047832" customFormat="false" ht="12.8" hidden="false" customHeight="false" outlineLevel="0" collapsed="false"/>
    <row r="1047833" customFormat="false" ht="12.8" hidden="false" customHeight="false" outlineLevel="0" collapsed="false"/>
    <row r="1047834" customFormat="false" ht="12.8" hidden="false" customHeight="false" outlineLevel="0" collapsed="false"/>
    <row r="1047835" customFormat="false" ht="12.8" hidden="false" customHeight="false" outlineLevel="0" collapsed="false"/>
    <row r="1047836" customFormat="false" ht="12.8" hidden="false" customHeight="false" outlineLevel="0" collapsed="false"/>
    <row r="1047837" customFormat="false" ht="12.8" hidden="false" customHeight="false" outlineLevel="0" collapsed="false"/>
    <row r="1047838" customFormat="false" ht="12.8" hidden="false" customHeight="false" outlineLevel="0" collapsed="false"/>
    <row r="1047839" customFormat="false" ht="12.8" hidden="false" customHeight="false" outlineLevel="0" collapsed="false"/>
    <row r="1047840" customFormat="false" ht="12.8" hidden="false" customHeight="false" outlineLevel="0" collapsed="false"/>
    <row r="1047841" customFormat="false" ht="12.8" hidden="false" customHeight="false" outlineLevel="0" collapsed="false"/>
    <row r="1047842" customFormat="false" ht="12.8" hidden="false" customHeight="false" outlineLevel="0" collapsed="false"/>
    <row r="1047843" customFormat="false" ht="12.8" hidden="false" customHeight="false" outlineLevel="0" collapsed="false"/>
    <row r="1047844" customFormat="false" ht="12.8" hidden="false" customHeight="false" outlineLevel="0" collapsed="false"/>
    <row r="1047845" customFormat="false" ht="12.8" hidden="false" customHeight="false" outlineLevel="0" collapsed="false"/>
    <row r="1047846" customFormat="false" ht="12.8" hidden="false" customHeight="false" outlineLevel="0" collapsed="false"/>
    <row r="1047847" customFormat="false" ht="12.8" hidden="false" customHeight="false" outlineLevel="0" collapsed="false"/>
    <row r="1047848" customFormat="false" ht="12.8" hidden="false" customHeight="false" outlineLevel="0" collapsed="false"/>
    <row r="1047849" customFormat="false" ht="12.8" hidden="false" customHeight="false" outlineLevel="0" collapsed="false"/>
    <row r="1047850" customFormat="false" ht="12.8" hidden="false" customHeight="false" outlineLevel="0" collapsed="false"/>
    <row r="1047851" customFormat="false" ht="12.8" hidden="false" customHeight="false" outlineLevel="0" collapsed="false"/>
    <row r="1047852" customFormat="false" ht="12.8" hidden="false" customHeight="false" outlineLevel="0" collapsed="false"/>
    <row r="1047853" customFormat="false" ht="12.8" hidden="false" customHeight="false" outlineLevel="0" collapsed="false"/>
    <row r="1047854" customFormat="false" ht="12.8" hidden="false" customHeight="false" outlineLevel="0" collapsed="false"/>
    <row r="1047855" customFormat="false" ht="12.8" hidden="false" customHeight="false" outlineLevel="0" collapsed="false"/>
    <row r="1047856" customFormat="false" ht="12.8" hidden="false" customHeight="false" outlineLevel="0" collapsed="false"/>
    <row r="1047857" customFormat="false" ht="12.8" hidden="false" customHeight="false" outlineLevel="0" collapsed="false"/>
    <row r="1047858" customFormat="false" ht="12.8" hidden="false" customHeight="false" outlineLevel="0" collapsed="false"/>
    <row r="1047859" customFormat="false" ht="12.8" hidden="false" customHeight="false" outlineLevel="0" collapsed="false"/>
    <row r="1047860" customFormat="false" ht="12.8" hidden="false" customHeight="false" outlineLevel="0" collapsed="false"/>
    <row r="1047861" customFormat="false" ht="12.8" hidden="false" customHeight="false" outlineLevel="0" collapsed="false"/>
    <row r="1047862" customFormat="false" ht="12.8" hidden="false" customHeight="false" outlineLevel="0" collapsed="false"/>
    <row r="1047863" customFormat="false" ht="12.8" hidden="false" customHeight="false" outlineLevel="0" collapsed="false"/>
    <row r="1047864" customFormat="false" ht="12.8" hidden="false" customHeight="false" outlineLevel="0" collapsed="false"/>
    <row r="1047865" customFormat="false" ht="12.8" hidden="false" customHeight="false" outlineLevel="0" collapsed="false"/>
    <row r="1047866" customFormat="false" ht="12.8" hidden="false" customHeight="false" outlineLevel="0" collapsed="false"/>
    <row r="1047867" customFormat="false" ht="12.8" hidden="false" customHeight="false" outlineLevel="0" collapsed="false"/>
    <row r="1047868" customFormat="false" ht="12.8" hidden="false" customHeight="false" outlineLevel="0" collapsed="false"/>
    <row r="1047869" customFormat="false" ht="12.8" hidden="false" customHeight="false" outlineLevel="0" collapsed="false"/>
    <row r="1047870" customFormat="false" ht="12.8" hidden="false" customHeight="false" outlineLevel="0" collapsed="false"/>
    <row r="1047871" customFormat="false" ht="12.8" hidden="false" customHeight="false" outlineLevel="0" collapsed="false"/>
    <row r="1047872" customFormat="false" ht="12.8" hidden="false" customHeight="false" outlineLevel="0" collapsed="false"/>
    <row r="1047873" customFormat="false" ht="12.8" hidden="false" customHeight="false" outlineLevel="0" collapsed="false"/>
    <row r="1047874" customFormat="false" ht="12.8" hidden="false" customHeight="false" outlineLevel="0" collapsed="false"/>
    <row r="1047875" customFormat="false" ht="12.8" hidden="false" customHeight="false" outlineLevel="0" collapsed="false"/>
    <row r="1047876" customFormat="false" ht="12.8" hidden="false" customHeight="false" outlineLevel="0" collapsed="false"/>
    <row r="1047877" customFormat="false" ht="12.8" hidden="false" customHeight="false" outlineLevel="0" collapsed="false"/>
    <row r="1047878" customFormat="false" ht="12.8" hidden="false" customHeight="false" outlineLevel="0" collapsed="false"/>
    <row r="1047879" customFormat="false" ht="12.8" hidden="false" customHeight="false" outlineLevel="0" collapsed="false"/>
    <row r="1047880" customFormat="false" ht="12.8" hidden="false" customHeight="false" outlineLevel="0" collapsed="false"/>
    <row r="1047881" customFormat="false" ht="12.8" hidden="false" customHeight="false" outlineLevel="0" collapsed="false"/>
    <row r="1047882" customFormat="false" ht="12.8" hidden="false" customHeight="false" outlineLevel="0" collapsed="false"/>
    <row r="1047883" customFormat="false" ht="12.8" hidden="false" customHeight="false" outlineLevel="0" collapsed="false"/>
    <row r="1047884" customFormat="false" ht="12.8" hidden="false" customHeight="false" outlineLevel="0" collapsed="false"/>
    <row r="1047885" customFormat="false" ht="12.8" hidden="false" customHeight="false" outlineLevel="0" collapsed="false"/>
    <row r="1047886" customFormat="false" ht="12.8" hidden="false" customHeight="false" outlineLevel="0" collapsed="false"/>
    <row r="1047887" customFormat="false" ht="12.8" hidden="false" customHeight="false" outlineLevel="0" collapsed="false"/>
    <row r="1047888" customFormat="false" ht="12.8" hidden="false" customHeight="false" outlineLevel="0" collapsed="false"/>
    <row r="1047889" customFormat="false" ht="12.8" hidden="false" customHeight="false" outlineLevel="0" collapsed="false"/>
    <row r="1047890" customFormat="false" ht="12.8" hidden="false" customHeight="false" outlineLevel="0" collapsed="false"/>
    <row r="1047891" customFormat="false" ht="12.8" hidden="false" customHeight="false" outlineLevel="0" collapsed="false"/>
    <row r="1047892" customFormat="false" ht="12.8" hidden="false" customHeight="false" outlineLevel="0" collapsed="false"/>
    <row r="1047893" customFormat="false" ht="12.8" hidden="false" customHeight="false" outlineLevel="0" collapsed="false"/>
    <row r="1047894" customFormat="false" ht="12.8" hidden="false" customHeight="false" outlineLevel="0" collapsed="false"/>
    <row r="1047895" customFormat="false" ht="12.8" hidden="false" customHeight="false" outlineLevel="0" collapsed="false"/>
    <row r="1047896" customFormat="false" ht="12.8" hidden="false" customHeight="false" outlineLevel="0" collapsed="false"/>
    <row r="1047897" customFormat="false" ht="12.8" hidden="false" customHeight="false" outlineLevel="0" collapsed="false"/>
    <row r="1047898" customFormat="false" ht="12.8" hidden="false" customHeight="false" outlineLevel="0" collapsed="false"/>
    <row r="1047899" customFormat="false" ht="12.8" hidden="false" customHeight="false" outlineLevel="0" collapsed="false"/>
    <row r="1047900" customFormat="false" ht="12.8" hidden="false" customHeight="false" outlineLevel="0" collapsed="false"/>
    <row r="1047901" customFormat="false" ht="12.8" hidden="false" customHeight="false" outlineLevel="0" collapsed="false"/>
    <row r="1047902" customFormat="false" ht="12.8" hidden="false" customHeight="false" outlineLevel="0" collapsed="false"/>
    <row r="1047903" customFormat="false" ht="12.8" hidden="false" customHeight="false" outlineLevel="0" collapsed="false"/>
    <row r="1047904" customFormat="false" ht="12.8" hidden="false" customHeight="false" outlineLevel="0" collapsed="false"/>
    <row r="1047905" customFormat="false" ht="12.8" hidden="false" customHeight="false" outlineLevel="0" collapsed="false"/>
    <row r="1047906" customFormat="false" ht="12.8" hidden="false" customHeight="false" outlineLevel="0" collapsed="false"/>
    <row r="1047907" customFormat="false" ht="12.8" hidden="false" customHeight="false" outlineLevel="0" collapsed="false"/>
    <row r="1047908" customFormat="false" ht="12.8" hidden="false" customHeight="false" outlineLevel="0" collapsed="false"/>
    <row r="1047909" customFormat="false" ht="12.8" hidden="false" customHeight="false" outlineLevel="0" collapsed="false"/>
    <row r="1047910" customFormat="false" ht="12.8" hidden="false" customHeight="false" outlineLevel="0" collapsed="false"/>
    <row r="1047911" customFormat="false" ht="12.8" hidden="false" customHeight="false" outlineLevel="0" collapsed="false"/>
    <row r="1047912" customFormat="false" ht="12.8" hidden="false" customHeight="false" outlineLevel="0" collapsed="false"/>
    <row r="1047913" customFormat="false" ht="12.8" hidden="false" customHeight="false" outlineLevel="0" collapsed="false"/>
    <row r="1047914" customFormat="false" ht="12.8" hidden="false" customHeight="false" outlineLevel="0" collapsed="false"/>
    <row r="1047915" customFormat="false" ht="12.8" hidden="false" customHeight="false" outlineLevel="0" collapsed="false"/>
    <row r="1047916" customFormat="false" ht="12.8" hidden="false" customHeight="false" outlineLevel="0" collapsed="false"/>
    <row r="1047917" customFormat="false" ht="12.8" hidden="false" customHeight="false" outlineLevel="0" collapsed="false"/>
    <row r="1047918" customFormat="false" ht="12.8" hidden="false" customHeight="false" outlineLevel="0" collapsed="false"/>
    <row r="1047919" customFormat="false" ht="12.8" hidden="false" customHeight="false" outlineLevel="0" collapsed="false"/>
    <row r="1047920" customFormat="false" ht="12.8" hidden="false" customHeight="false" outlineLevel="0" collapsed="false"/>
    <row r="1047921" customFormat="false" ht="12.8" hidden="false" customHeight="false" outlineLevel="0" collapsed="false"/>
    <row r="1047922" customFormat="false" ht="12.8" hidden="false" customHeight="false" outlineLevel="0" collapsed="false"/>
    <row r="1047923" customFormat="false" ht="12.8" hidden="false" customHeight="false" outlineLevel="0" collapsed="false"/>
    <row r="1047924" customFormat="false" ht="12.8" hidden="false" customHeight="false" outlineLevel="0" collapsed="false"/>
    <row r="1047925" customFormat="false" ht="12.8" hidden="false" customHeight="false" outlineLevel="0" collapsed="false"/>
    <row r="1047926" customFormat="false" ht="12.8" hidden="false" customHeight="false" outlineLevel="0" collapsed="false"/>
    <row r="1047927" customFormat="false" ht="12.8" hidden="false" customHeight="false" outlineLevel="0" collapsed="false"/>
    <row r="1047928" customFormat="false" ht="12.8" hidden="false" customHeight="false" outlineLevel="0" collapsed="false"/>
    <row r="1047929" customFormat="false" ht="12.8" hidden="false" customHeight="false" outlineLevel="0" collapsed="false"/>
    <row r="1047930" customFormat="false" ht="12.8" hidden="false" customHeight="false" outlineLevel="0" collapsed="false"/>
    <row r="1047931" customFormat="false" ht="12.8" hidden="false" customHeight="false" outlineLevel="0" collapsed="false"/>
    <row r="1047932" customFormat="false" ht="12.8" hidden="false" customHeight="false" outlineLevel="0" collapsed="false"/>
    <row r="1047933" customFormat="false" ht="12.8" hidden="false" customHeight="false" outlineLevel="0" collapsed="false"/>
    <row r="1047934" customFormat="false" ht="12.8" hidden="false" customHeight="false" outlineLevel="0" collapsed="false"/>
    <row r="1047935" customFormat="false" ht="12.8" hidden="false" customHeight="false" outlineLevel="0" collapsed="false"/>
    <row r="1047936" customFormat="false" ht="12.8" hidden="false" customHeight="false" outlineLevel="0" collapsed="false"/>
    <row r="1047937" customFormat="false" ht="12.8" hidden="false" customHeight="false" outlineLevel="0" collapsed="false"/>
    <row r="1047938" customFormat="false" ht="12.8" hidden="false" customHeight="false" outlineLevel="0" collapsed="false"/>
    <row r="1047939" customFormat="false" ht="12.8" hidden="false" customHeight="false" outlineLevel="0" collapsed="false"/>
    <row r="1047940" customFormat="false" ht="12.8" hidden="false" customHeight="false" outlineLevel="0" collapsed="false"/>
    <row r="1047941" customFormat="false" ht="12.8" hidden="false" customHeight="false" outlineLevel="0" collapsed="false"/>
    <row r="1047942" customFormat="false" ht="12.8" hidden="false" customHeight="false" outlineLevel="0" collapsed="false"/>
    <row r="1047943" customFormat="false" ht="12.8" hidden="false" customHeight="false" outlineLevel="0" collapsed="false"/>
    <row r="1047944" customFormat="false" ht="12.8" hidden="false" customHeight="false" outlineLevel="0" collapsed="false"/>
    <row r="1047945" customFormat="false" ht="12.8" hidden="false" customHeight="false" outlineLevel="0" collapsed="false"/>
    <row r="1047946" customFormat="false" ht="12.8" hidden="false" customHeight="false" outlineLevel="0" collapsed="false"/>
    <row r="1047947" customFormat="false" ht="12.8" hidden="false" customHeight="false" outlineLevel="0" collapsed="false"/>
    <row r="1047948" customFormat="false" ht="12.8" hidden="false" customHeight="false" outlineLevel="0" collapsed="false"/>
    <row r="1047949" customFormat="false" ht="12.8" hidden="false" customHeight="false" outlineLevel="0" collapsed="false"/>
    <row r="1047950" customFormat="false" ht="12.8" hidden="false" customHeight="false" outlineLevel="0" collapsed="false"/>
    <row r="1047951" customFormat="false" ht="12.8" hidden="false" customHeight="false" outlineLevel="0" collapsed="false"/>
    <row r="1047952" customFormat="false" ht="12.8" hidden="false" customHeight="false" outlineLevel="0" collapsed="false"/>
    <row r="1047953" customFormat="false" ht="12.8" hidden="false" customHeight="false" outlineLevel="0" collapsed="false"/>
    <row r="1047954" customFormat="false" ht="12.8" hidden="false" customHeight="false" outlineLevel="0" collapsed="false"/>
    <row r="1047955" customFormat="false" ht="12.8" hidden="false" customHeight="false" outlineLevel="0" collapsed="false"/>
    <row r="1047956" customFormat="false" ht="12.8" hidden="false" customHeight="false" outlineLevel="0" collapsed="false"/>
    <row r="1047957" customFormat="false" ht="12.8" hidden="false" customHeight="false" outlineLevel="0" collapsed="false"/>
    <row r="1047958" customFormat="false" ht="12.8" hidden="false" customHeight="false" outlineLevel="0" collapsed="false"/>
    <row r="1047959" customFormat="false" ht="12.8" hidden="false" customHeight="false" outlineLevel="0" collapsed="false"/>
    <row r="1047960" customFormat="false" ht="12.8" hidden="false" customHeight="false" outlineLevel="0" collapsed="false"/>
    <row r="1047961" customFormat="false" ht="12.8" hidden="false" customHeight="false" outlineLevel="0" collapsed="false"/>
    <row r="1047962" customFormat="false" ht="12.8" hidden="false" customHeight="false" outlineLevel="0" collapsed="false"/>
    <row r="1047963" customFormat="false" ht="12.8" hidden="false" customHeight="false" outlineLevel="0" collapsed="false"/>
    <row r="1047964" customFormat="false" ht="12.8" hidden="false" customHeight="false" outlineLevel="0" collapsed="false"/>
    <row r="1047965" customFormat="false" ht="12.8" hidden="false" customHeight="false" outlineLevel="0" collapsed="false"/>
    <row r="1047966" customFormat="false" ht="12.8" hidden="false" customHeight="false" outlineLevel="0" collapsed="false"/>
    <row r="1047967" customFormat="false" ht="12.8" hidden="false" customHeight="false" outlineLevel="0" collapsed="false"/>
    <row r="1047968" customFormat="false" ht="12.8" hidden="false" customHeight="false" outlineLevel="0" collapsed="false"/>
    <row r="1047969" customFormat="false" ht="12.8" hidden="false" customHeight="false" outlineLevel="0" collapsed="false"/>
    <row r="1047970" customFormat="false" ht="12.8" hidden="false" customHeight="false" outlineLevel="0" collapsed="false"/>
    <row r="1047971" customFormat="false" ht="12.8" hidden="false" customHeight="false" outlineLevel="0" collapsed="false"/>
    <row r="1047972" customFormat="false" ht="12.8" hidden="false" customHeight="false" outlineLevel="0" collapsed="false"/>
    <row r="1047973" customFormat="false" ht="12.8" hidden="false" customHeight="false" outlineLevel="0" collapsed="false"/>
    <row r="1047974" customFormat="false" ht="12.8" hidden="false" customHeight="false" outlineLevel="0" collapsed="false"/>
    <row r="1047975" customFormat="false" ht="12.8" hidden="false" customHeight="false" outlineLevel="0" collapsed="false"/>
    <row r="1047976" customFormat="false" ht="12.8" hidden="false" customHeight="false" outlineLevel="0" collapsed="false"/>
    <row r="1047977" customFormat="false" ht="12.8" hidden="false" customHeight="false" outlineLevel="0" collapsed="false"/>
    <row r="1047978" customFormat="false" ht="12.8" hidden="false" customHeight="false" outlineLevel="0" collapsed="false"/>
    <row r="1047979" customFormat="false" ht="12.8" hidden="false" customHeight="false" outlineLevel="0" collapsed="false"/>
    <row r="1047980" customFormat="false" ht="12.8" hidden="false" customHeight="false" outlineLevel="0" collapsed="false"/>
    <row r="1047981" customFormat="false" ht="12.8" hidden="false" customHeight="false" outlineLevel="0" collapsed="false"/>
    <row r="1047982" customFormat="false" ht="12.8" hidden="false" customHeight="false" outlineLevel="0" collapsed="false"/>
    <row r="1047983" customFormat="false" ht="12.8" hidden="false" customHeight="false" outlineLevel="0" collapsed="false"/>
    <row r="1047984" customFormat="false" ht="12.8" hidden="false" customHeight="false" outlineLevel="0" collapsed="false"/>
    <row r="1047985" customFormat="false" ht="12.8" hidden="false" customHeight="false" outlineLevel="0" collapsed="false"/>
    <row r="1047986" customFormat="false" ht="12.8" hidden="false" customHeight="false" outlineLevel="0" collapsed="false"/>
    <row r="1047987" customFormat="false" ht="12.8" hidden="false" customHeight="false" outlineLevel="0" collapsed="false"/>
    <row r="1047988" customFormat="false" ht="12.8" hidden="false" customHeight="false" outlineLevel="0" collapsed="false"/>
    <row r="1047989" customFormat="false" ht="12.8" hidden="false" customHeight="false" outlineLevel="0" collapsed="false"/>
    <row r="1047990" customFormat="false" ht="12.8" hidden="false" customHeight="false" outlineLevel="0" collapsed="false"/>
    <row r="1047991" customFormat="false" ht="12.8" hidden="false" customHeight="false" outlineLevel="0" collapsed="false"/>
    <row r="1047992" customFormat="false" ht="12.8" hidden="false" customHeight="false" outlineLevel="0" collapsed="false"/>
    <row r="1047993" customFormat="false" ht="12.8" hidden="false" customHeight="false" outlineLevel="0" collapsed="false"/>
    <row r="1047994" customFormat="false" ht="12.8" hidden="false" customHeight="false" outlineLevel="0" collapsed="false"/>
    <row r="1047995" customFormat="false" ht="12.8" hidden="false" customHeight="false" outlineLevel="0" collapsed="false"/>
    <row r="1047996" customFormat="false" ht="12.8" hidden="false" customHeight="false" outlineLevel="0" collapsed="false"/>
    <row r="1047997" customFormat="false" ht="12.8" hidden="false" customHeight="false" outlineLevel="0" collapsed="false"/>
    <row r="1047998" customFormat="false" ht="12.8" hidden="false" customHeight="false" outlineLevel="0" collapsed="false"/>
    <row r="1047999" customFormat="false" ht="12.8" hidden="false" customHeight="false" outlineLevel="0" collapsed="false"/>
    <row r="1048000" customFormat="false" ht="12.8" hidden="false" customHeight="false" outlineLevel="0" collapsed="false"/>
    <row r="1048001" customFormat="false" ht="12.8" hidden="false" customHeight="false" outlineLevel="0" collapsed="false"/>
    <row r="1048002" customFormat="false" ht="12.8" hidden="false" customHeight="false" outlineLevel="0" collapsed="false"/>
    <row r="1048003" customFormat="false" ht="12.8" hidden="false" customHeight="false" outlineLevel="0" collapsed="false"/>
    <row r="1048004" customFormat="false" ht="12.8" hidden="false" customHeight="false" outlineLevel="0" collapsed="false"/>
    <row r="1048005" customFormat="false" ht="12.8" hidden="false" customHeight="false" outlineLevel="0" collapsed="false"/>
    <row r="1048006" customFormat="false" ht="12.8" hidden="false" customHeight="false" outlineLevel="0" collapsed="false"/>
    <row r="1048007" customFormat="false" ht="12.8" hidden="false" customHeight="false" outlineLevel="0" collapsed="false"/>
    <row r="1048008" customFormat="false" ht="12.8" hidden="false" customHeight="false" outlineLevel="0" collapsed="false"/>
    <row r="1048009" customFormat="false" ht="12.8" hidden="false" customHeight="false" outlineLevel="0" collapsed="false"/>
    <row r="1048010" customFormat="false" ht="12.8" hidden="false" customHeight="false" outlineLevel="0" collapsed="false"/>
    <row r="1048011" customFormat="false" ht="12.8" hidden="false" customHeight="false" outlineLevel="0" collapsed="false"/>
    <row r="1048012" customFormat="false" ht="12.8" hidden="false" customHeight="false" outlineLevel="0" collapsed="false"/>
    <row r="1048013" customFormat="false" ht="12.8" hidden="false" customHeight="false" outlineLevel="0" collapsed="false"/>
    <row r="1048014" customFormat="false" ht="12.8" hidden="false" customHeight="false" outlineLevel="0" collapsed="false"/>
    <row r="1048015" customFormat="false" ht="12.8" hidden="false" customHeight="false" outlineLevel="0" collapsed="false"/>
    <row r="1048016" customFormat="false" ht="12.8" hidden="false" customHeight="false" outlineLevel="0" collapsed="false"/>
    <row r="1048017" customFormat="false" ht="12.8" hidden="false" customHeight="false" outlineLevel="0" collapsed="false"/>
    <row r="1048018" customFormat="false" ht="12.8" hidden="false" customHeight="false" outlineLevel="0" collapsed="false"/>
    <row r="1048019" customFormat="false" ht="12.8" hidden="false" customHeight="false" outlineLevel="0" collapsed="false"/>
    <row r="1048020" customFormat="false" ht="12.8" hidden="false" customHeight="false" outlineLevel="0" collapsed="false"/>
    <row r="1048021" customFormat="false" ht="12.8" hidden="false" customHeight="false" outlineLevel="0" collapsed="false"/>
    <row r="1048022" customFormat="false" ht="12.8" hidden="false" customHeight="false" outlineLevel="0" collapsed="false"/>
    <row r="1048023" customFormat="false" ht="12.8" hidden="false" customHeight="false" outlineLevel="0" collapsed="false"/>
    <row r="1048024" customFormat="false" ht="12.8" hidden="false" customHeight="false" outlineLevel="0" collapsed="false"/>
    <row r="1048025" customFormat="false" ht="12.8" hidden="false" customHeight="false" outlineLevel="0" collapsed="false"/>
    <row r="1048026" customFormat="false" ht="12.8" hidden="false" customHeight="false" outlineLevel="0" collapsed="false"/>
    <row r="1048027" customFormat="false" ht="12.8" hidden="false" customHeight="false" outlineLevel="0" collapsed="false"/>
    <row r="1048028" customFormat="false" ht="12.8" hidden="false" customHeight="false" outlineLevel="0" collapsed="false"/>
    <row r="1048029" customFormat="false" ht="12.8" hidden="false" customHeight="false" outlineLevel="0" collapsed="false"/>
    <row r="1048030" customFormat="false" ht="12.8" hidden="false" customHeight="false" outlineLevel="0" collapsed="false"/>
    <row r="1048031" customFormat="false" ht="12.8" hidden="false" customHeight="false" outlineLevel="0" collapsed="false"/>
    <row r="1048032" customFormat="false" ht="12.8" hidden="false" customHeight="false" outlineLevel="0" collapsed="false"/>
    <row r="1048033" customFormat="false" ht="12.8" hidden="false" customHeight="false" outlineLevel="0" collapsed="false"/>
    <row r="1048034" customFormat="false" ht="12.8" hidden="false" customHeight="false" outlineLevel="0" collapsed="false"/>
    <row r="1048035" customFormat="false" ht="12.8" hidden="false" customHeight="false" outlineLevel="0" collapsed="false"/>
    <row r="1048036" customFormat="false" ht="12.8" hidden="false" customHeight="false" outlineLevel="0" collapsed="false"/>
    <row r="1048037" customFormat="false" ht="12.8" hidden="false" customHeight="false" outlineLevel="0" collapsed="false"/>
    <row r="1048038" customFormat="false" ht="12.8" hidden="false" customHeight="false" outlineLevel="0" collapsed="false"/>
    <row r="1048039" customFormat="false" ht="12.8" hidden="false" customHeight="false" outlineLevel="0" collapsed="false"/>
    <row r="1048040" customFormat="false" ht="12.8" hidden="false" customHeight="false" outlineLevel="0" collapsed="false"/>
    <row r="1048041" customFormat="false" ht="12.8" hidden="false" customHeight="false" outlineLevel="0" collapsed="false"/>
    <row r="1048042" customFormat="false" ht="12.8" hidden="false" customHeight="false" outlineLevel="0" collapsed="false"/>
    <row r="1048043" customFormat="false" ht="12.8" hidden="false" customHeight="false" outlineLevel="0" collapsed="false"/>
    <row r="1048044" customFormat="false" ht="12.8" hidden="false" customHeight="false" outlineLevel="0" collapsed="false"/>
    <row r="1048045" customFormat="false" ht="12.8" hidden="false" customHeight="false" outlineLevel="0" collapsed="false"/>
    <row r="1048046" customFormat="false" ht="12.8" hidden="false" customHeight="false" outlineLevel="0" collapsed="false"/>
    <row r="1048047" customFormat="false" ht="12.8" hidden="false" customHeight="false" outlineLevel="0" collapsed="false"/>
    <row r="1048048" customFormat="false" ht="12.8" hidden="false" customHeight="false" outlineLevel="0" collapsed="false"/>
    <row r="1048049" customFormat="false" ht="12.8" hidden="false" customHeight="false" outlineLevel="0" collapsed="false"/>
    <row r="1048050" customFormat="false" ht="12.8" hidden="false" customHeight="false" outlineLevel="0" collapsed="false"/>
    <row r="1048051" customFormat="false" ht="12.8" hidden="false" customHeight="false" outlineLevel="0" collapsed="false"/>
    <row r="1048052" customFormat="false" ht="12.8" hidden="false" customHeight="false" outlineLevel="0" collapsed="false"/>
    <row r="1048053" customFormat="false" ht="12.8" hidden="false" customHeight="false" outlineLevel="0" collapsed="false"/>
    <row r="1048054" customFormat="false" ht="12.8" hidden="false" customHeight="false" outlineLevel="0" collapsed="false"/>
    <row r="1048055" customFormat="false" ht="12.8" hidden="false" customHeight="false" outlineLevel="0" collapsed="false"/>
    <row r="1048056" customFormat="false" ht="12.8" hidden="false" customHeight="false" outlineLevel="0" collapsed="false"/>
    <row r="1048057" customFormat="false" ht="12.8" hidden="false" customHeight="false" outlineLevel="0" collapsed="false"/>
    <row r="1048058" customFormat="false" ht="12.8" hidden="false" customHeight="false" outlineLevel="0" collapsed="false"/>
    <row r="1048059" customFormat="false" ht="12.8" hidden="false" customHeight="false" outlineLevel="0" collapsed="false"/>
    <row r="1048060" customFormat="false" ht="12.8" hidden="false" customHeight="false" outlineLevel="0" collapsed="false"/>
    <row r="1048061" customFormat="false" ht="12.8" hidden="false" customHeight="false" outlineLevel="0" collapsed="false"/>
    <row r="1048062" customFormat="false" ht="12.8" hidden="false" customHeight="false" outlineLevel="0" collapsed="false"/>
    <row r="1048063" customFormat="false" ht="12.8" hidden="false" customHeight="false" outlineLevel="0" collapsed="false"/>
    <row r="1048064" customFormat="false" ht="12.8" hidden="false" customHeight="false" outlineLevel="0" collapsed="false"/>
    <row r="1048065" customFormat="false" ht="12.8" hidden="false" customHeight="false" outlineLevel="0" collapsed="false"/>
    <row r="1048066" customFormat="false" ht="12.8" hidden="false" customHeight="false" outlineLevel="0" collapsed="false"/>
    <row r="1048067" customFormat="false" ht="12.8" hidden="false" customHeight="false" outlineLevel="0" collapsed="false"/>
    <row r="1048068" customFormat="false" ht="12.8" hidden="false" customHeight="false" outlineLevel="0" collapsed="false"/>
    <row r="1048069" customFormat="false" ht="12.8" hidden="false" customHeight="false" outlineLevel="0" collapsed="false"/>
    <row r="1048070" customFormat="false" ht="12.8" hidden="false" customHeight="false" outlineLevel="0" collapsed="false"/>
    <row r="1048071" customFormat="false" ht="12.8" hidden="false" customHeight="false" outlineLevel="0" collapsed="false"/>
    <row r="1048072" customFormat="false" ht="12.8" hidden="false" customHeight="false" outlineLevel="0" collapsed="false"/>
    <row r="1048073" customFormat="false" ht="12.8" hidden="false" customHeight="false" outlineLevel="0" collapsed="false"/>
    <row r="1048074" customFormat="false" ht="12.8" hidden="false" customHeight="false" outlineLevel="0" collapsed="false"/>
    <row r="1048075" customFormat="false" ht="12.8" hidden="false" customHeight="false" outlineLevel="0" collapsed="false"/>
    <row r="1048076" customFormat="false" ht="12.8" hidden="false" customHeight="false" outlineLevel="0" collapsed="false"/>
    <row r="1048077" customFormat="false" ht="12.8" hidden="false" customHeight="false" outlineLevel="0" collapsed="false"/>
    <row r="1048078" customFormat="false" ht="12.8" hidden="false" customHeight="false" outlineLevel="0" collapsed="false"/>
    <row r="1048079" customFormat="false" ht="12.8" hidden="false" customHeight="false" outlineLevel="0" collapsed="false"/>
    <row r="1048080" customFormat="false" ht="12.8" hidden="false" customHeight="false" outlineLevel="0" collapsed="false"/>
    <row r="1048081" customFormat="false" ht="12.8" hidden="false" customHeight="false" outlineLevel="0" collapsed="false"/>
    <row r="1048082" customFormat="false" ht="12.8" hidden="false" customHeight="false" outlineLevel="0" collapsed="false"/>
    <row r="1048083" customFormat="false" ht="12.8" hidden="false" customHeight="false" outlineLevel="0" collapsed="false"/>
    <row r="1048084" customFormat="false" ht="12.8" hidden="false" customHeight="false" outlineLevel="0" collapsed="false"/>
    <row r="1048085" customFormat="false" ht="12.8" hidden="false" customHeight="false" outlineLevel="0" collapsed="false"/>
    <row r="1048086" customFormat="false" ht="12.8" hidden="false" customHeight="false" outlineLevel="0" collapsed="false"/>
    <row r="1048087" customFormat="false" ht="12.8" hidden="false" customHeight="false" outlineLevel="0" collapsed="false"/>
    <row r="1048088" customFormat="false" ht="12.8" hidden="false" customHeight="false" outlineLevel="0" collapsed="false"/>
    <row r="1048089" customFormat="false" ht="12.8" hidden="false" customHeight="false" outlineLevel="0" collapsed="false"/>
    <row r="1048090" customFormat="false" ht="12.8" hidden="false" customHeight="false" outlineLevel="0" collapsed="false"/>
    <row r="1048091" customFormat="false" ht="12.8" hidden="false" customHeight="false" outlineLevel="0" collapsed="false"/>
    <row r="1048092" customFormat="false" ht="12.8" hidden="false" customHeight="false" outlineLevel="0" collapsed="false"/>
    <row r="1048093" customFormat="false" ht="12.8" hidden="false" customHeight="false" outlineLevel="0" collapsed="false"/>
    <row r="1048094" customFormat="false" ht="12.8" hidden="false" customHeight="false" outlineLevel="0" collapsed="false"/>
    <row r="1048095" customFormat="false" ht="12.8" hidden="false" customHeight="false" outlineLevel="0" collapsed="false"/>
    <row r="1048096" customFormat="false" ht="12.8" hidden="false" customHeight="false" outlineLevel="0" collapsed="false"/>
    <row r="1048097" customFormat="false" ht="12.8" hidden="false" customHeight="false" outlineLevel="0" collapsed="false"/>
    <row r="1048098" customFormat="false" ht="12.8" hidden="false" customHeight="false" outlineLevel="0" collapsed="false"/>
    <row r="1048099" customFormat="false" ht="12.8" hidden="false" customHeight="false" outlineLevel="0" collapsed="false"/>
    <row r="1048100" customFormat="false" ht="12.8" hidden="false" customHeight="false" outlineLevel="0" collapsed="false"/>
    <row r="1048101" customFormat="false" ht="12.8" hidden="false" customHeight="false" outlineLevel="0" collapsed="false"/>
    <row r="1048102" customFormat="false" ht="12.8" hidden="false" customHeight="false" outlineLevel="0" collapsed="false"/>
    <row r="1048103" customFormat="false" ht="12.8" hidden="false" customHeight="false" outlineLevel="0" collapsed="false"/>
    <row r="1048104" customFormat="false" ht="12.8" hidden="false" customHeight="false" outlineLevel="0" collapsed="false"/>
    <row r="1048105" customFormat="false" ht="12.8" hidden="false" customHeight="false" outlineLevel="0" collapsed="false"/>
    <row r="1048106" customFormat="false" ht="12.8" hidden="false" customHeight="false" outlineLevel="0" collapsed="false"/>
    <row r="1048107" customFormat="false" ht="12.8" hidden="false" customHeight="false" outlineLevel="0" collapsed="false"/>
    <row r="1048108" customFormat="false" ht="12.8" hidden="false" customHeight="false" outlineLevel="0" collapsed="false"/>
    <row r="1048109" customFormat="false" ht="12.8" hidden="false" customHeight="false" outlineLevel="0" collapsed="false"/>
    <row r="1048110" customFormat="false" ht="12.8" hidden="false" customHeight="false" outlineLevel="0" collapsed="false"/>
    <row r="1048111" customFormat="false" ht="12.8" hidden="false" customHeight="false" outlineLevel="0" collapsed="false"/>
    <row r="1048112" customFormat="false" ht="12.8" hidden="false" customHeight="false" outlineLevel="0" collapsed="false"/>
    <row r="1048113" customFormat="false" ht="12.8" hidden="false" customHeight="false" outlineLevel="0" collapsed="false"/>
    <row r="1048114" customFormat="false" ht="12.8" hidden="false" customHeight="false" outlineLevel="0" collapsed="false"/>
    <row r="1048115" customFormat="false" ht="12.8" hidden="false" customHeight="false" outlineLevel="0" collapsed="false"/>
    <row r="1048116" customFormat="false" ht="12.8" hidden="false" customHeight="false" outlineLevel="0" collapsed="false"/>
    <row r="1048117" customFormat="false" ht="12.8" hidden="false" customHeight="false" outlineLevel="0" collapsed="false"/>
    <row r="1048118" customFormat="false" ht="12.8" hidden="false" customHeight="false" outlineLevel="0" collapsed="false"/>
    <row r="1048119" customFormat="false" ht="12.8" hidden="false" customHeight="false" outlineLevel="0" collapsed="false"/>
    <row r="1048120" customFormat="false" ht="12.8" hidden="false" customHeight="false" outlineLevel="0" collapsed="false"/>
    <row r="1048121" customFormat="false" ht="12.8" hidden="false" customHeight="false" outlineLevel="0" collapsed="false"/>
    <row r="1048122" customFormat="false" ht="12.8" hidden="false" customHeight="false" outlineLevel="0" collapsed="false"/>
    <row r="1048123" customFormat="false" ht="12.8" hidden="false" customHeight="false" outlineLevel="0" collapsed="false"/>
    <row r="1048124" customFormat="false" ht="12.8" hidden="false" customHeight="false" outlineLevel="0" collapsed="false"/>
    <row r="1048125" customFormat="false" ht="12.8" hidden="false" customHeight="false" outlineLevel="0" collapsed="false"/>
    <row r="1048126" customFormat="false" ht="12.8" hidden="false" customHeight="false" outlineLevel="0" collapsed="false"/>
    <row r="1048127" customFormat="false" ht="12.8" hidden="false" customHeight="false" outlineLevel="0" collapsed="false"/>
    <row r="1048128" customFormat="false" ht="12.8" hidden="false" customHeight="false" outlineLevel="0" collapsed="false"/>
    <row r="1048129" customFormat="false" ht="12.8" hidden="false" customHeight="false" outlineLevel="0" collapsed="false"/>
    <row r="1048130" customFormat="false" ht="12.8" hidden="false" customHeight="false" outlineLevel="0" collapsed="false"/>
    <row r="1048131" customFormat="false" ht="12.8" hidden="false" customHeight="false" outlineLevel="0" collapsed="false"/>
    <row r="1048132" customFormat="false" ht="12.8" hidden="false" customHeight="false" outlineLevel="0" collapsed="false"/>
    <row r="1048133" customFormat="false" ht="12.8" hidden="false" customHeight="false" outlineLevel="0" collapsed="false"/>
    <row r="1048134" customFormat="false" ht="12.8" hidden="false" customHeight="false" outlineLevel="0" collapsed="false"/>
    <row r="1048135" customFormat="false" ht="12.8" hidden="false" customHeight="false" outlineLevel="0" collapsed="false"/>
    <row r="1048136" customFormat="false" ht="12.8" hidden="false" customHeight="false" outlineLevel="0" collapsed="false"/>
    <row r="1048137" customFormat="false" ht="12.8" hidden="false" customHeight="false" outlineLevel="0" collapsed="false"/>
    <row r="1048138" customFormat="false" ht="12.8" hidden="false" customHeight="false" outlineLevel="0" collapsed="false"/>
    <row r="1048139" customFormat="false" ht="12.8" hidden="false" customHeight="false" outlineLevel="0" collapsed="false"/>
    <row r="1048140" customFormat="false" ht="12.8" hidden="false" customHeight="false" outlineLevel="0" collapsed="false"/>
    <row r="1048141" customFormat="false" ht="12.8" hidden="false" customHeight="false" outlineLevel="0" collapsed="false"/>
    <row r="1048142" customFormat="false" ht="12.8" hidden="false" customHeight="false" outlineLevel="0" collapsed="false"/>
    <row r="1048143" customFormat="false" ht="12.8" hidden="false" customHeight="false" outlineLevel="0" collapsed="false"/>
    <row r="1048144" customFormat="false" ht="12.8" hidden="false" customHeight="false" outlineLevel="0" collapsed="false"/>
    <row r="1048145" customFormat="false" ht="12.8" hidden="false" customHeight="false" outlineLevel="0" collapsed="false"/>
    <row r="1048146" customFormat="false" ht="12.8" hidden="false" customHeight="false" outlineLevel="0" collapsed="false"/>
    <row r="1048147" customFormat="false" ht="12.8" hidden="false" customHeight="false" outlineLevel="0" collapsed="false"/>
    <row r="1048148" customFormat="false" ht="12.8" hidden="false" customHeight="false" outlineLevel="0" collapsed="false"/>
    <row r="1048149" customFormat="false" ht="12.8" hidden="false" customHeight="false" outlineLevel="0" collapsed="false"/>
    <row r="1048150" customFormat="false" ht="12.8" hidden="false" customHeight="false" outlineLevel="0" collapsed="false"/>
    <row r="1048151" customFormat="false" ht="12.8" hidden="false" customHeight="false" outlineLevel="0" collapsed="false"/>
    <row r="1048152" customFormat="false" ht="12.8" hidden="false" customHeight="false" outlineLevel="0" collapsed="false"/>
    <row r="1048153" customFormat="false" ht="12.8" hidden="false" customHeight="false" outlineLevel="0" collapsed="false"/>
    <row r="1048154" customFormat="false" ht="12.8" hidden="false" customHeight="false" outlineLevel="0" collapsed="false"/>
    <row r="1048155" customFormat="false" ht="12.8" hidden="false" customHeight="false" outlineLevel="0" collapsed="false"/>
    <row r="1048156" customFormat="false" ht="12.8" hidden="false" customHeight="false" outlineLevel="0" collapsed="false"/>
    <row r="1048157" customFormat="false" ht="12.8" hidden="false" customHeight="false" outlineLevel="0" collapsed="false"/>
    <row r="1048158" customFormat="false" ht="12.8" hidden="false" customHeight="false" outlineLevel="0" collapsed="false"/>
    <row r="1048159" customFormat="false" ht="12.8" hidden="false" customHeight="false" outlineLevel="0" collapsed="false"/>
    <row r="1048160" customFormat="false" ht="12.8" hidden="false" customHeight="false" outlineLevel="0" collapsed="false"/>
    <row r="1048161" customFormat="false" ht="12.8" hidden="false" customHeight="false" outlineLevel="0" collapsed="false"/>
    <row r="1048162" customFormat="false" ht="12.8" hidden="false" customHeight="false" outlineLevel="0" collapsed="false"/>
    <row r="1048163" customFormat="false" ht="12.8" hidden="false" customHeight="false" outlineLevel="0" collapsed="false"/>
    <row r="1048164" customFormat="false" ht="12.8" hidden="false" customHeight="false" outlineLevel="0" collapsed="false"/>
    <row r="1048165" customFormat="false" ht="12.8" hidden="false" customHeight="false" outlineLevel="0" collapsed="false"/>
    <row r="1048166" customFormat="false" ht="12.8" hidden="false" customHeight="false" outlineLevel="0" collapsed="false"/>
    <row r="1048167" customFormat="false" ht="12.8" hidden="false" customHeight="false" outlineLevel="0" collapsed="false"/>
    <row r="1048168" customFormat="false" ht="12.8" hidden="false" customHeight="false" outlineLevel="0" collapsed="false"/>
    <row r="1048169" customFormat="false" ht="12.8" hidden="false" customHeight="false" outlineLevel="0" collapsed="false"/>
    <row r="1048170" customFormat="false" ht="12.8" hidden="false" customHeight="false" outlineLevel="0" collapsed="false"/>
    <row r="1048171" customFormat="false" ht="12.8" hidden="false" customHeight="false" outlineLevel="0" collapsed="false"/>
    <row r="1048172" customFormat="false" ht="12.8" hidden="false" customHeight="false" outlineLevel="0" collapsed="false"/>
    <row r="1048173" customFormat="false" ht="12.8" hidden="false" customHeight="false" outlineLevel="0" collapsed="false"/>
    <row r="1048174" customFormat="false" ht="12.8" hidden="false" customHeight="false" outlineLevel="0" collapsed="false"/>
    <row r="1048175" customFormat="false" ht="12.8" hidden="false" customHeight="false" outlineLevel="0" collapsed="false"/>
    <row r="1048176" customFormat="false" ht="12.8" hidden="false" customHeight="false" outlineLevel="0" collapsed="false"/>
    <row r="1048177" customFormat="false" ht="12.8" hidden="false" customHeight="false" outlineLevel="0" collapsed="false"/>
    <row r="1048178" customFormat="false" ht="12.8" hidden="false" customHeight="false" outlineLevel="0" collapsed="false"/>
    <row r="1048179" customFormat="false" ht="12.8" hidden="false" customHeight="false" outlineLevel="0" collapsed="false"/>
    <row r="1048180" customFormat="false" ht="12.8" hidden="false" customHeight="false" outlineLevel="0" collapsed="false"/>
    <row r="1048181" customFormat="false" ht="12.8" hidden="false" customHeight="false" outlineLevel="0" collapsed="false"/>
    <row r="1048182" customFormat="false" ht="12.8" hidden="false" customHeight="false" outlineLevel="0" collapsed="false"/>
    <row r="1048183" customFormat="false" ht="12.8" hidden="false" customHeight="false" outlineLevel="0" collapsed="false"/>
    <row r="1048184" customFormat="false" ht="12.8" hidden="false" customHeight="false" outlineLevel="0" collapsed="false"/>
    <row r="1048185" customFormat="false" ht="12.8" hidden="false" customHeight="false" outlineLevel="0" collapsed="false"/>
    <row r="1048186" customFormat="false" ht="12.8" hidden="false" customHeight="false" outlineLevel="0" collapsed="false"/>
    <row r="1048187" customFormat="false" ht="12.8" hidden="false" customHeight="false" outlineLevel="0" collapsed="false"/>
    <row r="1048188" customFormat="false" ht="12.8" hidden="false" customHeight="false" outlineLevel="0" collapsed="false"/>
    <row r="1048189" customFormat="false" ht="12.8" hidden="false" customHeight="false" outlineLevel="0" collapsed="false"/>
    <row r="1048190" customFormat="false" ht="12.8" hidden="false" customHeight="false" outlineLevel="0" collapsed="false"/>
    <row r="1048191" customFormat="false" ht="12.8" hidden="false" customHeight="false" outlineLevel="0" collapsed="false"/>
    <row r="1048192" customFormat="false" ht="12.8" hidden="false" customHeight="false" outlineLevel="0" collapsed="false"/>
    <row r="1048193" customFormat="false" ht="12.8" hidden="false" customHeight="false" outlineLevel="0" collapsed="false"/>
    <row r="1048194" customFormat="false" ht="12.8" hidden="false" customHeight="false" outlineLevel="0" collapsed="false"/>
    <row r="1048195" customFormat="false" ht="12.8" hidden="false" customHeight="false" outlineLevel="0" collapsed="false"/>
    <row r="1048196" customFormat="false" ht="12.8" hidden="false" customHeight="false" outlineLevel="0" collapsed="false"/>
    <row r="1048197" customFormat="false" ht="12.8" hidden="false" customHeight="false" outlineLevel="0" collapsed="false"/>
    <row r="1048198" customFormat="false" ht="12.8" hidden="false" customHeight="false" outlineLevel="0" collapsed="false"/>
    <row r="1048199" customFormat="false" ht="12.8" hidden="false" customHeight="false" outlineLevel="0" collapsed="false"/>
    <row r="1048200" customFormat="false" ht="12.8" hidden="false" customHeight="false" outlineLevel="0" collapsed="false"/>
    <row r="1048201" customFormat="false" ht="12.8" hidden="false" customHeight="false" outlineLevel="0" collapsed="false"/>
    <row r="1048202" customFormat="false" ht="12.8" hidden="false" customHeight="false" outlineLevel="0" collapsed="false"/>
    <row r="1048203" customFormat="false" ht="12.8" hidden="false" customHeight="false" outlineLevel="0" collapsed="false"/>
    <row r="1048204" customFormat="false" ht="12.8" hidden="false" customHeight="false" outlineLevel="0" collapsed="false"/>
    <row r="1048205" customFormat="false" ht="12.8" hidden="false" customHeight="false" outlineLevel="0" collapsed="false"/>
    <row r="1048206" customFormat="false" ht="12.8" hidden="false" customHeight="false" outlineLevel="0" collapsed="false"/>
    <row r="1048207" customFormat="false" ht="12.8" hidden="false" customHeight="false" outlineLevel="0" collapsed="false"/>
    <row r="1048208" customFormat="false" ht="12.8" hidden="false" customHeight="false" outlineLevel="0" collapsed="false"/>
    <row r="1048209" customFormat="false" ht="12.8" hidden="false" customHeight="false" outlineLevel="0" collapsed="false"/>
    <row r="1048210" customFormat="false" ht="12.8" hidden="false" customHeight="false" outlineLevel="0" collapsed="false"/>
    <row r="1048211" customFormat="false" ht="12.8" hidden="false" customHeight="false" outlineLevel="0" collapsed="false"/>
    <row r="1048212" customFormat="false" ht="12.8" hidden="false" customHeight="false" outlineLevel="0" collapsed="false"/>
    <row r="1048213" customFormat="false" ht="12.8" hidden="false" customHeight="false" outlineLevel="0" collapsed="false"/>
    <row r="1048214" customFormat="false" ht="12.8" hidden="false" customHeight="false" outlineLevel="0" collapsed="false"/>
    <row r="1048215" customFormat="false" ht="12.8" hidden="false" customHeight="false" outlineLevel="0" collapsed="false"/>
    <row r="1048216" customFormat="false" ht="12.8" hidden="false" customHeight="false" outlineLevel="0" collapsed="false"/>
    <row r="1048217" customFormat="false" ht="12.8" hidden="false" customHeight="false" outlineLevel="0" collapsed="false"/>
    <row r="1048218" customFormat="false" ht="12.8" hidden="false" customHeight="false" outlineLevel="0" collapsed="false"/>
    <row r="1048219" customFormat="false" ht="12.8" hidden="false" customHeight="false" outlineLevel="0" collapsed="false"/>
    <row r="1048220" customFormat="false" ht="12.8" hidden="false" customHeight="false" outlineLevel="0" collapsed="false"/>
    <row r="1048221" customFormat="false" ht="12.8" hidden="false" customHeight="false" outlineLevel="0" collapsed="false"/>
    <row r="1048222" customFormat="false" ht="12.8" hidden="false" customHeight="false" outlineLevel="0" collapsed="false"/>
    <row r="1048223" customFormat="false" ht="12.8" hidden="false" customHeight="false" outlineLevel="0" collapsed="false"/>
    <row r="1048224" customFormat="false" ht="12.8" hidden="false" customHeight="false" outlineLevel="0" collapsed="false"/>
    <row r="1048225" customFormat="false" ht="12.8" hidden="false" customHeight="false" outlineLevel="0" collapsed="false"/>
    <row r="1048226" customFormat="false" ht="12.8" hidden="false" customHeight="false" outlineLevel="0" collapsed="false"/>
    <row r="1048227" customFormat="false" ht="12.8" hidden="false" customHeight="false" outlineLevel="0" collapsed="false"/>
    <row r="1048228" customFormat="false" ht="12.8" hidden="false" customHeight="false" outlineLevel="0" collapsed="false"/>
    <row r="1048229" customFormat="false" ht="12.8" hidden="false" customHeight="false" outlineLevel="0" collapsed="false"/>
    <row r="1048230" customFormat="false" ht="12.8" hidden="false" customHeight="false" outlineLevel="0" collapsed="false"/>
    <row r="1048231" customFormat="false" ht="12.8" hidden="false" customHeight="false" outlineLevel="0" collapsed="false"/>
    <row r="1048232" customFormat="false" ht="12.8" hidden="false" customHeight="false" outlineLevel="0" collapsed="false"/>
    <row r="1048233" customFormat="false" ht="12.8" hidden="false" customHeight="false" outlineLevel="0" collapsed="false"/>
    <row r="1048234" customFormat="false" ht="12.8" hidden="false" customHeight="false" outlineLevel="0" collapsed="false"/>
    <row r="1048235" customFormat="false" ht="12.8" hidden="false" customHeight="false" outlineLevel="0" collapsed="false"/>
    <row r="1048236" customFormat="false" ht="12.8" hidden="false" customHeight="false" outlineLevel="0" collapsed="false"/>
    <row r="1048237" customFormat="false" ht="12.8" hidden="false" customHeight="false" outlineLevel="0" collapsed="false"/>
    <row r="1048238" customFormat="false" ht="12.8" hidden="false" customHeight="false" outlineLevel="0" collapsed="false"/>
    <row r="1048239" customFormat="false" ht="12.8" hidden="false" customHeight="false" outlineLevel="0" collapsed="false"/>
    <row r="1048240" customFormat="false" ht="12.8" hidden="false" customHeight="false" outlineLevel="0" collapsed="false"/>
    <row r="1048241" customFormat="false" ht="12.8" hidden="false" customHeight="false" outlineLevel="0" collapsed="false"/>
    <row r="1048242" customFormat="false" ht="12.8" hidden="false" customHeight="false" outlineLevel="0" collapsed="false"/>
    <row r="1048243" customFormat="false" ht="12.8" hidden="false" customHeight="false" outlineLevel="0" collapsed="false"/>
    <row r="1048244" customFormat="false" ht="12.8" hidden="false" customHeight="false" outlineLevel="0" collapsed="false"/>
    <row r="1048245" customFormat="false" ht="12.8" hidden="false" customHeight="false" outlineLevel="0" collapsed="false"/>
    <row r="1048246" customFormat="false" ht="12.8" hidden="false" customHeight="false" outlineLevel="0" collapsed="false"/>
    <row r="1048247" customFormat="false" ht="12.8" hidden="false" customHeight="false" outlineLevel="0" collapsed="false"/>
    <row r="1048248" customFormat="false" ht="12.8" hidden="false" customHeight="false" outlineLevel="0" collapsed="false"/>
    <row r="1048249" customFormat="false" ht="12.8" hidden="false" customHeight="false" outlineLevel="0" collapsed="false"/>
    <row r="1048250" customFormat="false" ht="12.8" hidden="false" customHeight="false" outlineLevel="0" collapsed="false"/>
    <row r="1048251" customFormat="false" ht="12.8" hidden="false" customHeight="false" outlineLevel="0" collapsed="false"/>
    <row r="1048252" customFormat="false" ht="12.8" hidden="false" customHeight="false" outlineLevel="0" collapsed="false"/>
    <row r="1048253" customFormat="false" ht="12.8" hidden="false" customHeight="false" outlineLevel="0" collapsed="false"/>
    <row r="1048254" customFormat="false" ht="12.8" hidden="false" customHeight="false" outlineLevel="0" collapsed="false"/>
    <row r="1048255" customFormat="false" ht="12.8" hidden="false" customHeight="false" outlineLevel="0" collapsed="false"/>
    <row r="1048256" customFormat="false" ht="12.8" hidden="false" customHeight="false" outlineLevel="0" collapsed="false"/>
    <row r="1048257" customFormat="false" ht="12.8" hidden="false" customHeight="false" outlineLevel="0" collapsed="false"/>
    <row r="1048258" customFormat="false" ht="12.8" hidden="false" customHeight="false" outlineLevel="0" collapsed="false"/>
    <row r="1048259" customFormat="false" ht="12.8" hidden="false" customHeight="false" outlineLevel="0" collapsed="false"/>
    <row r="1048260" customFormat="false" ht="12.8" hidden="false" customHeight="false" outlineLevel="0" collapsed="false"/>
    <row r="1048261" customFormat="false" ht="12.8" hidden="false" customHeight="false" outlineLevel="0" collapsed="false"/>
    <row r="1048262" customFormat="false" ht="12.8" hidden="false" customHeight="false" outlineLevel="0" collapsed="false"/>
    <row r="1048263" customFormat="false" ht="12.8" hidden="false" customHeight="false" outlineLevel="0" collapsed="false"/>
    <row r="1048264" customFormat="false" ht="12.8" hidden="false" customHeight="false" outlineLevel="0" collapsed="false"/>
    <row r="1048265" customFormat="false" ht="12.8" hidden="false" customHeight="false" outlineLevel="0" collapsed="false"/>
    <row r="1048266" customFormat="false" ht="12.8" hidden="false" customHeight="false" outlineLevel="0" collapsed="false"/>
    <row r="1048267" customFormat="false" ht="12.8" hidden="false" customHeight="false" outlineLevel="0" collapsed="false"/>
    <row r="1048268" customFormat="false" ht="12.8" hidden="false" customHeight="false" outlineLevel="0" collapsed="false"/>
    <row r="1048269" customFormat="false" ht="12.8" hidden="false" customHeight="false" outlineLevel="0" collapsed="false"/>
    <row r="1048270" customFormat="false" ht="12.8" hidden="false" customHeight="false" outlineLevel="0" collapsed="false"/>
    <row r="1048271" customFormat="false" ht="12.8" hidden="false" customHeight="false" outlineLevel="0" collapsed="false"/>
    <row r="1048272" customFormat="false" ht="12.8" hidden="false" customHeight="false" outlineLevel="0" collapsed="false"/>
    <row r="1048273" customFormat="false" ht="12.8" hidden="false" customHeight="false" outlineLevel="0" collapsed="false"/>
    <row r="1048274" customFormat="false" ht="12.8" hidden="false" customHeight="false" outlineLevel="0" collapsed="false"/>
    <row r="1048275" customFormat="false" ht="12.8" hidden="false" customHeight="false" outlineLevel="0" collapsed="false"/>
    <row r="1048276" customFormat="false" ht="12.8" hidden="false" customHeight="false" outlineLevel="0" collapsed="false"/>
    <row r="1048277" customFormat="false" ht="12.8" hidden="false" customHeight="false" outlineLevel="0" collapsed="false"/>
    <row r="1048278" customFormat="false" ht="12.8" hidden="false" customHeight="false" outlineLevel="0" collapsed="false"/>
    <row r="1048279" customFormat="false" ht="12.8" hidden="false" customHeight="false" outlineLevel="0" collapsed="false"/>
    <row r="1048280" customFormat="false" ht="12.8" hidden="false" customHeight="false" outlineLevel="0" collapsed="false"/>
    <row r="1048281" customFormat="false" ht="12.8" hidden="false" customHeight="false" outlineLevel="0" collapsed="false"/>
    <row r="1048282" customFormat="false" ht="12.8" hidden="false" customHeight="false" outlineLevel="0" collapsed="false"/>
    <row r="1048283" customFormat="false" ht="12.8" hidden="false" customHeight="false" outlineLevel="0" collapsed="false"/>
    <row r="1048284" customFormat="false" ht="12.8" hidden="false" customHeight="false" outlineLevel="0" collapsed="false"/>
    <row r="1048285" customFormat="false" ht="12.8" hidden="false" customHeight="false" outlineLevel="0" collapsed="false"/>
    <row r="1048286" customFormat="false" ht="12.8" hidden="false" customHeight="false" outlineLevel="0" collapsed="false"/>
    <row r="1048287" customFormat="false" ht="12.8" hidden="false" customHeight="false" outlineLevel="0" collapsed="false"/>
    <row r="1048288" customFormat="false" ht="12.8" hidden="false" customHeight="false" outlineLevel="0" collapsed="false"/>
    <row r="1048289" customFormat="false" ht="12.8" hidden="false" customHeight="false" outlineLevel="0" collapsed="false"/>
    <row r="1048290" customFormat="false" ht="12.8" hidden="false" customHeight="false" outlineLevel="0" collapsed="false"/>
    <row r="1048291" customFormat="false" ht="12.8" hidden="false" customHeight="false" outlineLevel="0" collapsed="false"/>
    <row r="1048292" customFormat="false" ht="12.8" hidden="false" customHeight="false" outlineLevel="0" collapsed="false"/>
    <row r="1048293" customFormat="false" ht="12.8" hidden="false" customHeight="false" outlineLevel="0" collapsed="false"/>
    <row r="1048294" customFormat="false" ht="12.8" hidden="false" customHeight="false" outlineLevel="0" collapsed="false"/>
    <row r="1048295" customFormat="false" ht="12.8" hidden="false" customHeight="false" outlineLevel="0" collapsed="false"/>
    <row r="1048296" customFormat="false" ht="12.8" hidden="false" customHeight="false" outlineLevel="0" collapsed="false"/>
    <row r="1048297" customFormat="false" ht="12.8" hidden="false" customHeight="false" outlineLevel="0" collapsed="false"/>
    <row r="1048298" customFormat="false" ht="12.8" hidden="false" customHeight="false" outlineLevel="0" collapsed="false"/>
    <row r="1048299" customFormat="false" ht="12.8" hidden="false" customHeight="false" outlineLevel="0" collapsed="false"/>
    <row r="1048300" customFormat="false" ht="12.8" hidden="false" customHeight="false" outlineLevel="0" collapsed="false"/>
    <row r="1048301" customFormat="false" ht="12.8" hidden="false" customHeight="false" outlineLevel="0" collapsed="false"/>
    <row r="1048302" customFormat="false" ht="12.8" hidden="false" customHeight="false" outlineLevel="0" collapsed="false"/>
    <row r="1048303" customFormat="false" ht="12.8" hidden="false" customHeight="false" outlineLevel="0" collapsed="false"/>
    <row r="1048304" customFormat="false" ht="12.8" hidden="false" customHeight="false" outlineLevel="0" collapsed="false"/>
    <row r="1048305" customFormat="false" ht="12.8" hidden="false" customHeight="false" outlineLevel="0" collapsed="false"/>
    <row r="1048306" customFormat="false" ht="12.8" hidden="false" customHeight="false" outlineLevel="0" collapsed="false"/>
    <row r="1048307" customFormat="false" ht="12.8" hidden="false" customHeight="false" outlineLevel="0" collapsed="false"/>
    <row r="1048308" customFormat="false" ht="12.8" hidden="false" customHeight="false" outlineLevel="0" collapsed="false"/>
    <row r="1048309" customFormat="false" ht="12.8" hidden="false" customHeight="false" outlineLevel="0" collapsed="false"/>
    <row r="1048310" customFormat="false" ht="12.8" hidden="false" customHeight="false" outlineLevel="0" collapsed="false"/>
    <row r="1048311" customFormat="false" ht="12.8" hidden="false" customHeight="false" outlineLevel="0" collapsed="false"/>
    <row r="1048312" customFormat="false" ht="12.8" hidden="false" customHeight="false" outlineLevel="0" collapsed="false"/>
    <row r="1048313" customFormat="false" ht="12.8" hidden="false" customHeight="false" outlineLevel="0" collapsed="false"/>
    <row r="1048314" customFormat="false" ht="12.8" hidden="false" customHeight="false" outlineLevel="0" collapsed="false"/>
    <row r="1048315" customFormat="false" ht="12.8" hidden="false" customHeight="false" outlineLevel="0" collapsed="false"/>
    <row r="1048316" customFormat="false" ht="12.8" hidden="false" customHeight="false" outlineLevel="0" collapsed="false"/>
    <row r="1048317" customFormat="false" ht="12.8" hidden="false" customHeight="false" outlineLevel="0" collapsed="false"/>
    <row r="1048318" customFormat="false" ht="12.8" hidden="false" customHeight="false" outlineLevel="0" collapsed="false"/>
    <row r="1048319" customFormat="false" ht="12.8" hidden="false" customHeight="false" outlineLevel="0" collapsed="false"/>
    <row r="1048320" customFormat="false" ht="12.8" hidden="false" customHeight="false" outlineLevel="0" collapsed="false"/>
    <row r="1048321" customFormat="false" ht="12.8" hidden="false" customHeight="false" outlineLevel="0" collapsed="false"/>
    <row r="1048322" customFormat="false" ht="12.8" hidden="false" customHeight="false" outlineLevel="0" collapsed="false"/>
    <row r="1048323" customFormat="false" ht="12.8" hidden="false" customHeight="false" outlineLevel="0" collapsed="false"/>
    <row r="1048324" customFormat="false" ht="12.8" hidden="false" customHeight="false" outlineLevel="0" collapsed="false"/>
    <row r="1048325" customFormat="false" ht="12.8" hidden="false" customHeight="false" outlineLevel="0" collapsed="false"/>
    <row r="1048326" customFormat="false" ht="12.8" hidden="false" customHeight="false" outlineLevel="0" collapsed="false"/>
    <row r="1048327" customFormat="false" ht="12.8" hidden="false" customHeight="false" outlineLevel="0" collapsed="false"/>
    <row r="1048328" customFormat="false" ht="12.8" hidden="false" customHeight="false" outlineLevel="0" collapsed="false"/>
    <row r="1048329" customFormat="false" ht="12.8" hidden="false" customHeight="false" outlineLevel="0" collapsed="false"/>
    <row r="1048330" customFormat="false" ht="12.8" hidden="false" customHeight="false" outlineLevel="0" collapsed="false"/>
    <row r="1048331" customFormat="false" ht="12.8" hidden="false" customHeight="false" outlineLevel="0" collapsed="false"/>
    <row r="1048332" customFormat="false" ht="12.8" hidden="false" customHeight="false" outlineLevel="0" collapsed="false"/>
    <row r="1048333" customFormat="false" ht="12.8" hidden="false" customHeight="false" outlineLevel="0" collapsed="false"/>
    <row r="1048334" customFormat="false" ht="12.8" hidden="false" customHeight="false" outlineLevel="0" collapsed="false"/>
    <row r="1048335" customFormat="false" ht="12.8" hidden="false" customHeight="false" outlineLevel="0" collapsed="false"/>
    <row r="1048336" customFormat="false" ht="12.8" hidden="false" customHeight="false" outlineLevel="0" collapsed="false"/>
    <row r="1048337" customFormat="false" ht="12.8" hidden="false" customHeight="false" outlineLevel="0" collapsed="false"/>
    <row r="1048338" customFormat="false" ht="12.8" hidden="false" customHeight="false" outlineLevel="0" collapsed="false"/>
    <row r="1048339" customFormat="false" ht="12.8" hidden="false" customHeight="false" outlineLevel="0" collapsed="false"/>
    <row r="1048340" customFormat="false" ht="12.8" hidden="false" customHeight="false" outlineLevel="0" collapsed="false"/>
    <row r="1048341" customFormat="false" ht="12.8" hidden="false" customHeight="false" outlineLevel="0" collapsed="false"/>
    <row r="1048342" customFormat="false" ht="12.8" hidden="false" customHeight="false" outlineLevel="0" collapsed="false"/>
    <row r="1048343" customFormat="false" ht="12.8" hidden="false" customHeight="false" outlineLevel="0" collapsed="false"/>
    <row r="1048344" customFormat="false" ht="12.8" hidden="false" customHeight="false" outlineLevel="0" collapsed="false"/>
    <row r="1048345" customFormat="false" ht="12.8" hidden="false" customHeight="false" outlineLevel="0" collapsed="false"/>
    <row r="1048346" customFormat="false" ht="12.8" hidden="false" customHeight="false" outlineLevel="0" collapsed="false"/>
    <row r="1048347" customFormat="false" ht="12.8" hidden="false" customHeight="false" outlineLevel="0" collapsed="false"/>
    <row r="1048348" customFormat="false" ht="12.8" hidden="false" customHeight="false" outlineLevel="0" collapsed="false"/>
    <row r="1048349" customFormat="false" ht="12.8" hidden="false" customHeight="false" outlineLevel="0" collapsed="false"/>
    <row r="1048350" customFormat="false" ht="12.8" hidden="false" customHeight="false" outlineLevel="0" collapsed="false"/>
    <row r="1048351" customFormat="false" ht="12.8" hidden="false" customHeight="false" outlineLevel="0" collapsed="false"/>
    <row r="1048352" customFormat="false" ht="12.8" hidden="false" customHeight="false" outlineLevel="0" collapsed="false"/>
    <row r="1048353" customFormat="false" ht="12.8" hidden="false" customHeight="false" outlineLevel="0" collapsed="false"/>
    <row r="1048354" customFormat="false" ht="12.8" hidden="false" customHeight="false" outlineLevel="0" collapsed="false"/>
    <row r="1048355" customFormat="false" ht="12.8" hidden="false" customHeight="false" outlineLevel="0" collapsed="false"/>
    <row r="1048356" customFormat="false" ht="12.8" hidden="false" customHeight="false" outlineLevel="0" collapsed="false"/>
    <row r="1048357" customFormat="false" ht="12.8" hidden="false" customHeight="false" outlineLevel="0" collapsed="false"/>
    <row r="1048358" customFormat="false" ht="12.8" hidden="false" customHeight="false" outlineLevel="0" collapsed="false"/>
    <row r="1048359" customFormat="false" ht="12.8" hidden="false" customHeight="false" outlineLevel="0" collapsed="false"/>
    <row r="1048360" customFormat="false" ht="12.8" hidden="false" customHeight="false" outlineLevel="0" collapsed="false"/>
    <row r="1048361" customFormat="false" ht="12.8" hidden="false" customHeight="false" outlineLevel="0" collapsed="false"/>
    <row r="1048362" customFormat="false" ht="12.8" hidden="false" customHeight="false" outlineLevel="0" collapsed="false"/>
    <row r="1048363" customFormat="false" ht="12.8" hidden="false" customHeight="false" outlineLevel="0" collapsed="false"/>
    <row r="1048364" customFormat="false" ht="12.8" hidden="false" customHeight="false" outlineLevel="0" collapsed="false"/>
    <row r="1048365" customFormat="false" ht="12.8" hidden="false" customHeight="false" outlineLevel="0" collapsed="false"/>
    <row r="1048366" customFormat="false" ht="12.8" hidden="false" customHeight="false" outlineLevel="0" collapsed="false"/>
    <row r="1048367" customFormat="false" ht="12.8" hidden="false" customHeight="false" outlineLevel="0" collapsed="false"/>
    <row r="1048368" customFormat="false" ht="12.8" hidden="false" customHeight="false" outlineLevel="0" collapsed="false"/>
    <row r="1048369" customFormat="false" ht="12.8" hidden="false" customHeight="false" outlineLevel="0" collapsed="false"/>
    <row r="1048370" customFormat="false" ht="12.8" hidden="false" customHeight="false" outlineLevel="0" collapsed="false"/>
    <row r="1048371" customFormat="false" ht="12.8" hidden="false" customHeight="false" outlineLevel="0" collapsed="false"/>
    <row r="1048372" customFormat="false" ht="12.8" hidden="false" customHeight="false" outlineLevel="0" collapsed="false"/>
    <row r="1048373" customFormat="false" ht="12.8" hidden="false" customHeight="false" outlineLevel="0" collapsed="false"/>
    <row r="1048374" customFormat="false" ht="12.8" hidden="false" customHeight="false" outlineLevel="0" collapsed="false"/>
    <row r="1048375" customFormat="false" ht="12.8" hidden="false" customHeight="false" outlineLevel="0" collapsed="false"/>
    <row r="1048376" customFormat="false" ht="12.8" hidden="false" customHeight="false" outlineLevel="0" collapsed="false"/>
    <row r="1048377" customFormat="false" ht="12.8" hidden="false" customHeight="false" outlineLevel="0" collapsed="false"/>
    <row r="1048378" customFormat="false" ht="12.8" hidden="false" customHeight="false" outlineLevel="0" collapsed="false"/>
    <row r="1048379" customFormat="false" ht="12.8" hidden="false" customHeight="false" outlineLevel="0" collapsed="false"/>
    <row r="1048380" customFormat="false" ht="12.8" hidden="false" customHeight="false" outlineLevel="0" collapsed="false"/>
    <row r="1048381" customFormat="false" ht="12.8" hidden="false" customHeight="false" outlineLevel="0" collapsed="false"/>
    <row r="1048382" customFormat="false" ht="12.8" hidden="false" customHeight="false" outlineLevel="0" collapsed="false"/>
    <row r="1048383" customFormat="false" ht="12.8" hidden="false" customHeight="false" outlineLevel="0" collapsed="false"/>
    <row r="1048384" customFormat="false" ht="12.8" hidden="false" customHeight="false" outlineLevel="0" collapsed="false"/>
    <row r="1048385" customFormat="false" ht="12.8" hidden="false" customHeight="false" outlineLevel="0" collapsed="false"/>
    <row r="1048386" customFormat="false" ht="12.8" hidden="false" customHeight="false" outlineLevel="0" collapsed="false"/>
    <row r="1048387" customFormat="false" ht="12.8" hidden="false" customHeight="false" outlineLevel="0" collapsed="false"/>
    <row r="1048388" customFormat="false" ht="12.8" hidden="false" customHeight="false" outlineLevel="0" collapsed="false"/>
    <row r="1048389" customFormat="false" ht="12.8" hidden="false" customHeight="false" outlineLevel="0" collapsed="false"/>
    <row r="1048390" customFormat="false" ht="12.8" hidden="false" customHeight="false" outlineLevel="0" collapsed="false"/>
    <row r="1048391" customFormat="false" ht="12.8" hidden="false" customHeight="false" outlineLevel="0" collapsed="false"/>
    <row r="1048392" customFormat="false" ht="12.8" hidden="false" customHeight="false" outlineLevel="0" collapsed="false"/>
    <row r="1048393" customFormat="false" ht="12.8" hidden="false" customHeight="false" outlineLevel="0" collapsed="false"/>
    <row r="1048394" customFormat="false" ht="12.8" hidden="false" customHeight="false" outlineLevel="0" collapsed="false"/>
    <row r="1048395" customFormat="false" ht="12.8" hidden="false" customHeight="false" outlineLevel="0" collapsed="false"/>
    <row r="1048396" customFormat="false" ht="12.8" hidden="false" customHeight="false" outlineLevel="0" collapsed="false"/>
    <row r="1048397" customFormat="false" ht="12.8" hidden="false" customHeight="false" outlineLevel="0" collapsed="false"/>
    <row r="1048398" customFormat="false" ht="12.8" hidden="false" customHeight="false" outlineLevel="0" collapsed="false"/>
    <row r="1048399" customFormat="false" ht="12.8" hidden="false" customHeight="false" outlineLevel="0" collapsed="false"/>
    <row r="1048400" customFormat="false" ht="12.8" hidden="false" customHeight="false" outlineLevel="0" collapsed="false"/>
    <row r="1048401" customFormat="false" ht="12.8" hidden="false" customHeight="false" outlineLevel="0" collapsed="false"/>
    <row r="1048402" customFormat="false" ht="12.8" hidden="false" customHeight="false" outlineLevel="0" collapsed="false"/>
    <row r="1048403" customFormat="false" ht="12.8" hidden="false" customHeight="false" outlineLevel="0" collapsed="false"/>
    <row r="1048404" customFormat="false" ht="12.8" hidden="false" customHeight="false" outlineLevel="0" collapsed="false"/>
    <row r="1048405" customFormat="false" ht="12.8" hidden="false" customHeight="false" outlineLevel="0" collapsed="false"/>
    <row r="1048406" customFormat="false" ht="12.8" hidden="false" customHeight="false" outlineLevel="0" collapsed="false"/>
    <row r="1048407" customFormat="false" ht="12.8" hidden="false" customHeight="false" outlineLevel="0" collapsed="false"/>
    <row r="1048408" customFormat="false" ht="12.8" hidden="false" customHeight="false" outlineLevel="0" collapsed="false"/>
    <row r="1048409" customFormat="false" ht="12.8" hidden="false" customHeight="false" outlineLevel="0" collapsed="false"/>
    <row r="1048410" customFormat="false" ht="12.8" hidden="false" customHeight="false" outlineLevel="0" collapsed="false"/>
    <row r="1048411" customFormat="false" ht="12.8" hidden="false" customHeight="false" outlineLevel="0" collapsed="false"/>
    <row r="1048412" customFormat="false" ht="12.8" hidden="false" customHeight="false" outlineLevel="0" collapsed="false"/>
    <row r="1048413" customFormat="false" ht="12.8" hidden="false" customHeight="false" outlineLevel="0" collapsed="false"/>
    <row r="1048414" customFormat="false" ht="12.8" hidden="false" customHeight="false" outlineLevel="0" collapsed="false"/>
    <row r="1048415" customFormat="false" ht="12.8" hidden="false" customHeight="false" outlineLevel="0" collapsed="false"/>
    <row r="1048416" customFormat="false" ht="12.8" hidden="false" customHeight="false" outlineLevel="0" collapsed="false"/>
    <row r="1048417" customFormat="false" ht="12.8" hidden="false" customHeight="false" outlineLevel="0" collapsed="false"/>
    <row r="1048418" customFormat="false" ht="12.8" hidden="false" customHeight="false" outlineLevel="0" collapsed="false"/>
    <row r="1048419" customFormat="false" ht="12.8" hidden="false" customHeight="false" outlineLevel="0" collapsed="false"/>
    <row r="1048420" customFormat="false" ht="12.8" hidden="false" customHeight="false" outlineLevel="0" collapsed="false"/>
    <row r="1048421" customFormat="false" ht="12.8" hidden="false" customHeight="false" outlineLevel="0" collapsed="false"/>
    <row r="1048422" customFormat="false" ht="12.8" hidden="false" customHeight="false" outlineLevel="0" collapsed="false"/>
    <row r="1048423" customFormat="false" ht="12.8" hidden="false" customHeight="false" outlineLevel="0" collapsed="false"/>
    <row r="1048424" customFormat="false" ht="12.8" hidden="false" customHeight="false" outlineLevel="0" collapsed="false"/>
    <row r="1048425" customFormat="false" ht="12.8" hidden="false" customHeight="false" outlineLevel="0" collapsed="false"/>
    <row r="1048426" customFormat="false" ht="12.8" hidden="false" customHeight="false" outlineLevel="0" collapsed="false"/>
    <row r="1048427" customFormat="false" ht="12.8" hidden="false" customHeight="false" outlineLevel="0" collapsed="false"/>
    <row r="1048428" customFormat="false" ht="12.8" hidden="false" customHeight="false" outlineLevel="0" collapsed="false"/>
    <row r="1048429" customFormat="false" ht="12.8" hidden="false" customHeight="false" outlineLevel="0" collapsed="false"/>
    <row r="1048430" customFormat="false" ht="12.8" hidden="false" customHeight="false" outlineLevel="0" collapsed="false"/>
    <row r="1048431" customFormat="false" ht="12.8" hidden="false" customHeight="false" outlineLevel="0" collapsed="false"/>
    <row r="1048432" customFormat="false" ht="12.8" hidden="false" customHeight="false" outlineLevel="0" collapsed="false"/>
    <row r="1048433" customFormat="false" ht="12.8" hidden="false" customHeight="false" outlineLevel="0" collapsed="false"/>
    <row r="1048434" customFormat="false" ht="12.8" hidden="false" customHeight="false" outlineLevel="0" collapsed="false"/>
    <row r="1048435" customFormat="false" ht="12.8" hidden="false" customHeight="false" outlineLevel="0" collapsed="false"/>
    <row r="1048436" customFormat="false" ht="12.8" hidden="false" customHeight="false" outlineLevel="0" collapsed="false"/>
    <row r="1048437" customFormat="false" ht="12.8" hidden="false" customHeight="false" outlineLevel="0" collapsed="false"/>
    <row r="1048438" customFormat="false" ht="12.8" hidden="false" customHeight="false" outlineLevel="0" collapsed="false"/>
    <row r="1048439" customFormat="false" ht="12.8" hidden="false" customHeight="false" outlineLevel="0" collapsed="false"/>
    <row r="1048440" customFormat="false" ht="12.8" hidden="false" customHeight="false" outlineLevel="0" collapsed="false"/>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Z33"/>
  <sheetViews>
    <sheetView showFormulas="false" showGridLines="true" showRowColHeaders="true" showZeros="true" rightToLeft="false" tabSelected="false" showOutlineSymbols="true" defaultGridColor="true" view="normal" topLeftCell="A1" colorId="64" zoomScale="91" zoomScaleNormal="91" zoomScalePageLayoutView="100" workbookViewId="0">
      <selection pane="topLeft" activeCell="D32" activeCellId="0" sqref="D32"/>
    </sheetView>
  </sheetViews>
  <sheetFormatPr defaultColWidth="40.54296875" defaultRowHeight="13.8" zeroHeight="false" outlineLevelRow="0" outlineLevelCol="0"/>
  <cols>
    <col collapsed="false" customWidth="true" hidden="false" outlineLevel="0" max="3" min="3" style="0" width="3.91"/>
    <col collapsed="false" customWidth="true" hidden="false" outlineLevel="0" max="5" min="5" style="0" width="3.91"/>
    <col collapsed="false" customWidth="true" hidden="false" outlineLevel="0" max="7" min="7" style="0" width="3.91"/>
    <col collapsed="false" customWidth="true" hidden="false" outlineLevel="0" max="9" min="9" style="0" width="3.91"/>
    <col collapsed="false" customWidth="true" hidden="false" outlineLevel="0" max="11" min="11" style="0" width="3.91"/>
    <col collapsed="false" customWidth="true" hidden="false" outlineLevel="0" max="13" min="13" style="0" width="3.91"/>
    <col collapsed="false" customWidth="true" hidden="false" outlineLevel="0" max="15" min="15" style="0" width="3.91"/>
    <col collapsed="false" customWidth="true" hidden="false" outlineLevel="0" max="17" min="17" style="0" width="3.91"/>
    <col collapsed="false" customWidth="true" hidden="false" outlineLevel="0" max="19" min="19" style="0" width="3.91"/>
    <col collapsed="false" customWidth="true" hidden="false" outlineLevel="0" max="21" min="21" style="0" width="3.91"/>
    <col collapsed="false" customWidth="true" hidden="false" outlineLevel="0" max="23" min="23" style="0" width="3.91"/>
    <col collapsed="false" customWidth="true" hidden="false" outlineLevel="0" max="25" min="25" style="0" width="3.91"/>
    <col collapsed="false" customWidth="true" hidden="false" outlineLevel="0" max="27" min="27" style="0" width="3.91"/>
    <col collapsed="false" customWidth="true" hidden="false" outlineLevel="0" max="29" min="29" style="0" width="3.91"/>
    <col collapsed="false" customWidth="true" hidden="false" outlineLevel="0" max="31" min="31" style="0" width="3.91"/>
    <col collapsed="false" customWidth="true" hidden="false" outlineLevel="0" max="33" min="33" style="0" width="3.91"/>
    <col collapsed="false" customWidth="true" hidden="false" outlineLevel="0" max="35" min="35" style="0" width="3.91"/>
    <col collapsed="false" customWidth="true" hidden="false" outlineLevel="0" max="37" min="37" style="0" width="3.91"/>
    <col collapsed="false" customWidth="true" hidden="false" outlineLevel="0" max="39" min="39" style="0" width="3.91"/>
    <col collapsed="false" customWidth="true" hidden="false" outlineLevel="0" max="41" min="41" style="0" width="3.91"/>
    <col collapsed="false" customWidth="true" hidden="false" outlineLevel="0" max="43" min="43" style="0" width="3.91"/>
    <col collapsed="false" customWidth="true" hidden="false" outlineLevel="0" max="45" min="45" style="0" width="3.91"/>
    <col collapsed="false" customWidth="true" hidden="false" outlineLevel="0" max="47" min="47" style="0" width="3.91"/>
    <col collapsed="false" customWidth="true" hidden="false" outlineLevel="0" max="49" min="49" style="0" width="3.91"/>
    <col collapsed="false" customWidth="true" hidden="false" outlineLevel="0" max="51" min="51" style="0" width="3.91"/>
    <col collapsed="false" customWidth="true" hidden="false" outlineLevel="0" max="53" min="53" style="0" width="3.91"/>
    <col collapsed="false" customWidth="true" hidden="false" outlineLevel="0" max="55" min="55" style="0" width="3.91"/>
    <col collapsed="false" customWidth="true" hidden="false" outlineLevel="0" max="57" min="57" style="0" width="3.91"/>
    <col collapsed="false" customWidth="true" hidden="false" outlineLevel="0" max="59" min="59" style="0" width="3.91"/>
    <col collapsed="false" customWidth="true" hidden="false" outlineLevel="0" max="61" min="61" style="0" width="3.91"/>
    <col collapsed="false" customWidth="true" hidden="false" outlineLevel="0" max="63" min="63" style="0" width="3.91"/>
    <col collapsed="false" customWidth="true" hidden="false" outlineLevel="0" max="65" min="65" style="0" width="3.91"/>
    <col collapsed="false" customWidth="true" hidden="false" outlineLevel="0" max="67" min="67" style="0" width="3.91"/>
    <col collapsed="false" customWidth="true" hidden="false" outlineLevel="0" max="69" min="69" style="0" width="3.91"/>
  </cols>
  <sheetData>
    <row r="1" customFormat="false" ht="13.8" hidden="false" customHeight="false" outlineLevel="0" collapsed="false">
      <c r="A1" s="0" t="s">
        <v>0</v>
      </c>
    </row>
    <row r="2" customFormat="false" ht="13.8" hidden="false" customHeight="false" outlineLevel="0" collapsed="false">
      <c r="A2" s="1" t="s">
        <v>1</v>
      </c>
      <c r="B2" s="2" t="s">
        <v>2</v>
      </c>
      <c r="C2" s="2" t="s">
        <v>3</v>
      </c>
      <c r="D2" s="2" t="s">
        <v>2</v>
      </c>
      <c r="E2" s="2" t="s">
        <v>3</v>
      </c>
      <c r="F2" s="2" t="s">
        <v>2</v>
      </c>
      <c r="G2" s="2" t="s">
        <v>3</v>
      </c>
      <c r="H2" s="2" t="s">
        <v>2</v>
      </c>
      <c r="I2" s="2" t="s">
        <v>3</v>
      </c>
      <c r="J2" s="2" t="s">
        <v>2</v>
      </c>
      <c r="K2" s="2" t="s">
        <v>3</v>
      </c>
      <c r="L2" s="2" t="s">
        <v>4</v>
      </c>
      <c r="M2" s="2" t="s">
        <v>3</v>
      </c>
      <c r="N2" s="2" t="s">
        <v>4</v>
      </c>
      <c r="O2" s="2" t="s">
        <v>3</v>
      </c>
      <c r="P2" s="2" t="s">
        <v>4</v>
      </c>
      <c r="Q2" s="2" t="s">
        <v>3</v>
      </c>
      <c r="R2" s="2" t="s">
        <v>4</v>
      </c>
      <c r="S2" s="2" t="s">
        <v>3</v>
      </c>
      <c r="T2" s="2" t="s">
        <v>4</v>
      </c>
      <c r="U2" s="2" t="s">
        <v>3</v>
      </c>
      <c r="V2" s="2" t="s">
        <v>5</v>
      </c>
      <c r="W2" s="2" t="s">
        <v>3</v>
      </c>
      <c r="X2" s="2" t="s">
        <v>5</v>
      </c>
      <c r="Y2" s="2" t="s">
        <v>3</v>
      </c>
      <c r="Z2" s="2" t="s">
        <v>5</v>
      </c>
      <c r="AA2" s="2" t="s">
        <v>3</v>
      </c>
      <c r="AB2" s="2" t="s">
        <v>5</v>
      </c>
      <c r="AC2" s="2" t="s">
        <v>3</v>
      </c>
      <c r="AD2" s="2" t="s">
        <v>5</v>
      </c>
      <c r="AE2" s="2" t="s">
        <v>3</v>
      </c>
      <c r="AF2" s="2" t="s">
        <v>6</v>
      </c>
      <c r="AG2" s="2" t="s">
        <v>3</v>
      </c>
      <c r="AH2" s="2" t="s">
        <v>6</v>
      </c>
      <c r="AI2" s="2" t="s">
        <v>3</v>
      </c>
      <c r="AJ2" s="2" t="s">
        <v>6</v>
      </c>
      <c r="AK2" s="2" t="s">
        <v>3</v>
      </c>
      <c r="AL2" s="2" t="s">
        <v>6</v>
      </c>
      <c r="AM2" s="2" t="s">
        <v>3</v>
      </c>
      <c r="AN2" s="2" t="s">
        <v>6</v>
      </c>
      <c r="AO2" s="2" t="s">
        <v>3</v>
      </c>
      <c r="AP2" s="2" t="s">
        <v>7</v>
      </c>
      <c r="AQ2" s="2" t="s">
        <v>3</v>
      </c>
      <c r="AR2" s="2" t="s">
        <v>7</v>
      </c>
      <c r="AS2" s="2" t="s">
        <v>3</v>
      </c>
      <c r="AT2" s="2" t="s">
        <v>7</v>
      </c>
      <c r="AU2" s="2" t="s">
        <v>3</v>
      </c>
      <c r="AV2" s="2" t="s">
        <v>7</v>
      </c>
      <c r="AW2" s="2" t="s">
        <v>3</v>
      </c>
      <c r="AX2" s="2" t="s">
        <v>7</v>
      </c>
      <c r="AY2" s="2" t="s">
        <v>3</v>
      </c>
      <c r="AZ2" s="2" t="s">
        <v>8</v>
      </c>
      <c r="BA2" s="2" t="s">
        <v>3</v>
      </c>
      <c r="BB2" s="2" t="s">
        <v>8</v>
      </c>
      <c r="BC2" s="2" t="s">
        <v>3</v>
      </c>
      <c r="BD2" s="2" t="s">
        <v>8</v>
      </c>
      <c r="BE2" s="2" t="s">
        <v>3</v>
      </c>
      <c r="BF2" s="2" t="s">
        <v>8</v>
      </c>
      <c r="BG2" s="2" t="s">
        <v>3</v>
      </c>
      <c r="BH2" s="2" t="s">
        <v>8</v>
      </c>
      <c r="BI2" s="2" t="s">
        <v>3</v>
      </c>
      <c r="BJ2" s="2" t="s">
        <v>9</v>
      </c>
      <c r="BK2" s="2" t="s">
        <v>3</v>
      </c>
      <c r="BL2" s="2" t="s">
        <v>9</v>
      </c>
      <c r="BM2" s="2" t="s">
        <v>3</v>
      </c>
      <c r="BN2" s="2" t="s">
        <v>9</v>
      </c>
      <c r="BO2" s="2" t="s">
        <v>3</v>
      </c>
      <c r="BP2" s="2" t="s">
        <v>9</v>
      </c>
      <c r="BQ2" s="2" t="s">
        <v>3</v>
      </c>
      <c r="BR2" s="2" t="s">
        <v>10</v>
      </c>
      <c r="BS2" s="2" t="s">
        <v>10</v>
      </c>
      <c r="BT2" s="2" t="s">
        <v>10</v>
      </c>
      <c r="BU2" s="2" t="s">
        <v>10</v>
      </c>
      <c r="BV2" s="2" t="s">
        <v>10</v>
      </c>
      <c r="BW2" s="2" t="s">
        <v>10</v>
      </c>
      <c r="BX2" s="2" t="s">
        <v>10</v>
      </c>
      <c r="BY2" s="2" t="s">
        <v>10</v>
      </c>
      <c r="BZ2" s="2" t="s">
        <v>10</v>
      </c>
    </row>
    <row r="3" customFormat="false" ht="13.8" hidden="false" customHeight="false" outlineLevel="0" collapsed="false">
      <c r="A3" s="1" t="s">
        <v>11</v>
      </c>
      <c r="B3" s="2" t="s">
        <v>12</v>
      </c>
      <c r="D3" s="2" t="s">
        <v>12</v>
      </c>
      <c r="F3" s="2" t="s">
        <v>12</v>
      </c>
      <c r="H3" s="2" t="s">
        <v>12</v>
      </c>
      <c r="J3" s="2" t="s">
        <v>12</v>
      </c>
      <c r="L3" s="2" t="s">
        <v>13</v>
      </c>
      <c r="N3" s="2" t="s">
        <v>13</v>
      </c>
      <c r="P3" s="2" t="s">
        <v>13</v>
      </c>
      <c r="R3" s="2" t="s">
        <v>13</v>
      </c>
      <c r="T3" s="2" t="s">
        <v>13</v>
      </c>
      <c r="V3" s="2" t="s">
        <v>14</v>
      </c>
      <c r="X3" s="2" t="s">
        <v>14</v>
      </c>
      <c r="Z3" s="2" t="s">
        <v>14</v>
      </c>
      <c r="AB3" s="2" t="s">
        <v>14</v>
      </c>
      <c r="AD3" s="2" t="s">
        <v>14</v>
      </c>
      <c r="AF3" s="2" t="s">
        <v>12</v>
      </c>
      <c r="AH3" s="2" t="s">
        <v>12</v>
      </c>
      <c r="AJ3" s="2" t="s">
        <v>12</v>
      </c>
      <c r="AL3" s="2" t="s">
        <v>12</v>
      </c>
      <c r="AN3" s="2" t="s">
        <v>12</v>
      </c>
      <c r="AP3" s="2" t="s">
        <v>15</v>
      </c>
      <c r="AR3" s="2" t="s">
        <v>15</v>
      </c>
      <c r="AT3" s="2" t="s">
        <v>15</v>
      </c>
      <c r="AV3" s="2" t="s">
        <v>15</v>
      </c>
      <c r="AX3" s="2" t="s">
        <v>15</v>
      </c>
      <c r="AZ3" s="2" t="s">
        <v>16</v>
      </c>
      <c r="BB3" s="2" t="s">
        <v>16</v>
      </c>
      <c r="BD3" s="2" t="s">
        <v>16</v>
      </c>
      <c r="BF3" s="2" t="s">
        <v>16</v>
      </c>
      <c r="BH3" s="2" t="s">
        <v>16</v>
      </c>
      <c r="BJ3" s="2" t="s">
        <v>17</v>
      </c>
      <c r="BL3" s="2" t="s">
        <v>17</v>
      </c>
      <c r="BN3" s="2" t="s">
        <v>17</v>
      </c>
      <c r="BP3" s="2" t="s">
        <v>17</v>
      </c>
    </row>
    <row r="4" customFormat="false" ht="13.8" hidden="false" customHeight="false" outlineLevel="0" collapsed="false">
      <c r="A4" s="1" t="s">
        <v>18</v>
      </c>
      <c r="B4" s="2" t="s">
        <v>19</v>
      </c>
      <c r="D4" s="2" t="s">
        <v>19</v>
      </c>
      <c r="F4" s="2" t="s">
        <v>19</v>
      </c>
      <c r="H4" s="2" t="s">
        <v>19</v>
      </c>
      <c r="J4" s="2" t="s">
        <v>19</v>
      </c>
      <c r="L4" s="2" t="s">
        <v>19</v>
      </c>
      <c r="N4" s="2" t="s">
        <v>19</v>
      </c>
      <c r="P4" s="2" t="s">
        <v>19</v>
      </c>
      <c r="R4" s="2" t="s">
        <v>19</v>
      </c>
      <c r="T4" s="2" t="s">
        <v>19</v>
      </c>
      <c r="V4" s="2" t="s">
        <v>19</v>
      </c>
      <c r="X4" s="2" t="s">
        <v>19</v>
      </c>
      <c r="Z4" s="2" t="s">
        <v>19</v>
      </c>
      <c r="AB4" s="2" t="s">
        <v>19</v>
      </c>
      <c r="AD4" s="2" t="s">
        <v>19</v>
      </c>
      <c r="AF4" s="2" t="s">
        <v>19</v>
      </c>
      <c r="AH4" s="2" t="s">
        <v>19</v>
      </c>
      <c r="AJ4" s="2" t="s">
        <v>19</v>
      </c>
      <c r="AL4" s="2" t="s">
        <v>19</v>
      </c>
      <c r="AN4" s="2" t="s">
        <v>19</v>
      </c>
      <c r="AP4" s="2" t="s">
        <v>19</v>
      </c>
      <c r="AR4" s="2" t="s">
        <v>19</v>
      </c>
      <c r="AT4" s="2" t="s">
        <v>19</v>
      </c>
      <c r="AV4" s="2" t="s">
        <v>19</v>
      </c>
      <c r="AX4" s="2" t="s">
        <v>19</v>
      </c>
      <c r="AZ4" s="2" t="s">
        <v>19</v>
      </c>
      <c r="BB4" s="2" t="s">
        <v>19</v>
      </c>
      <c r="BD4" s="2" t="s">
        <v>19</v>
      </c>
      <c r="BF4" s="2" t="s">
        <v>19</v>
      </c>
      <c r="BH4" s="2" t="s">
        <v>19</v>
      </c>
      <c r="BJ4" s="2" t="s">
        <v>20</v>
      </c>
      <c r="BL4" s="2" t="s">
        <v>20</v>
      </c>
      <c r="BN4" s="2" t="s">
        <v>20</v>
      </c>
      <c r="BP4" s="2" t="s">
        <v>20</v>
      </c>
    </row>
    <row r="5" customFormat="false" ht="13.8" hidden="false" customHeight="false" outlineLevel="0" collapsed="false">
      <c r="A5" s="1" t="s">
        <v>21</v>
      </c>
      <c r="B5" s="3" t="n">
        <v>45383</v>
      </c>
      <c r="D5" s="3" t="n">
        <v>45383</v>
      </c>
      <c r="F5" s="3" t="n">
        <v>45383</v>
      </c>
      <c r="H5" s="3" t="n">
        <v>45383</v>
      </c>
      <c r="J5" s="3" t="n">
        <v>45383</v>
      </c>
      <c r="L5" s="3" t="n">
        <v>45383</v>
      </c>
      <c r="N5" s="3" t="n">
        <v>45383</v>
      </c>
      <c r="P5" s="3" t="n">
        <v>45383</v>
      </c>
      <c r="R5" s="3" t="n">
        <v>45383</v>
      </c>
      <c r="T5" s="3" t="n">
        <v>45383</v>
      </c>
      <c r="V5" s="3" t="n">
        <v>45383</v>
      </c>
      <c r="X5" s="3" t="n">
        <v>45383</v>
      </c>
      <c r="Z5" s="3" t="n">
        <v>45383</v>
      </c>
      <c r="AB5" s="3" t="n">
        <v>45383</v>
      </c>
      <c r="AD5" s="3" t="n">
        <v>45383</v>
      </c>
      <c r="AF5" s="3" t="n">
        <v>45383</v>
      </c>
      <c r="AH5" s="3" t="n">
        <v>45383</v>
      </c>
      <c r="AJ5" s="3" t="n">
        <v>45383</v>
      </c>
      <c r="AL5" s="3" t="n">
        <v>45383</v>
      </c>
      <c r="AN5" s="3" t="n">
        <v>45383</v>
      </c>
      <c r="AP5" s="3" t="n">
        <v>45383</v>
      </c>
      <c r="AR5" s="3" t="n">
        <v>45383</v>
      </c>
      <c r="AT5" s="3" t="n">
        <v>45383</v>
      </c>
      <c r="AV5" s="3" t="n">
        <v>45383</v>
      </c>
      <c r="AX5" s="3" t="n">
        <v>45383</v>
      </c>
      <c r="AZ5" s="3" t="n">
        <v>45383</v>
      </c>
      <c r="BB5" s="3" t="n">
        <v>45383</v>
      </c>
      <c r="BD5" s="3" t="n">
        <v>45383</v>
      </c>
      <c r="BF5" s="3" t="n">
        <v>45383</v>
      </c>
      <c r="BH5" s="3" t="n">
        <v>45383</v>
      </c>
      <c r="BJ5" s="3" t="n">
        <v>45383</v>
      </c>
      <c r="BL5" s="3" t="n">
        <v>45383</v>
      </c>
      <c r="BN5" s="3" t="n">
        <v>45383</v>
      </c>
      <c r="BP5" s="3" t="n">
        <v>45383</v>
      </c>
      <c r="BR5" s="3" t="n">
        <v>45383</v>
      </c>
      <c r="BS5" s="3" t="n">
        <v>45383</v>
      </c>
      <c r="BT5" s="3" t="n">
        <v>45383</v>
      </c>
      <c r="BU5" s="3" t="n">
        <v>45383</v>
      </c>
      <c r="BV5" s="3" t="n">
        <v>45383</v>
      </c>
      <c r="BW5" s="3" t="n">
        <v>45383</v>
      </c>
      <c r="BX5" s="3" t="n">
        <v>45383</v>
      </c>
      <c r="BY5" s="3" t="n">
        <v>45383</v>
      </c>
      <c r="BZ5" s="3" t="n">
        <v>45383</v>
      </c>
    </row>
    <row r="6" customFormat="false" ht="13.8" hidden="false" customHeight="false" outlineLevel="0" collapsed="false">
      <c r="A6" s="1" t="s">
        <v>22</v>
      </c>
      <c r="B6" s="3" t="n">
        <v>45400</v>
      </c>
      <c r="D6" s="3" t="n">
        <v>45400</v>
      </c>
      <c r="F6" s="3" t="n">
        <v>45400</v>
      </c>
      <c r="H6" s="3" t="n">
        <v>45400</v>
      </c>
      <c r="J6" s="3" t="n">
        <v>45400</v>
      </c>
      <c r="L6" s="3" t="n">
        <v>45400</v>
      </c>
      <c r="N6" s="3" t="n">
        <v>45400</v>
      </c>
      <c r="P6" s="3" t="n">
        <v>45400</v>
      </c>
      <c r="R6" s="3" t="n">
        <v>45400</v>
      </c>
      <c r="T6" s="3" t="n">
        <v>45400</v>
      </c>
      <c r="V6" s="3" t="n">
        <v>45400</v>
      </c>
      <c r="X6" s="3" t="n">
        <v>45400</v>
      </c>
      <c r="Z6" s="3" t="n">
        <v>45400</v>
      </c>
      <c r="AB6" s="3" t="n">
        <v>45400</v>
      </c>
      <c r="AD6" s="3" t="n">
        <v>45400</v>
      </c>
      <c r="AF6" s="3" t="n">
        <v>45400</v>
      </c>
      <c r="AH6" s="3" t="n">
        <v>45400</v>
      </c>
      <c r="AJ6" s="3" t="n">
        <v>45400</v>
      </c>
      <c r="AL6" s="3" t="n">
        <v>45400</v>
      </c>
      <c r="AN6" s="3" t="n">
        <v>45400</v>
      </c>
      <c r="AP6" s="3" t="n">
        <v>45400</v>
      </c>
      <c r="AR6" s="3" t="n">
        <v>45400</v>
      </c>
      <c r="AT6" s="3" t="n">
        <v>45400</v>
      </c>
      <c r="AV6" s="3" t="n">
        <v>45400</v>
      </c>
      <c r="AX6" s="3" t="n">
        <v>45400</v>
      </c>
      <c r="AZ6" s="3" t="n">
        <v>45400</v>
      </c>
      <c r="BB6" s="3" t="n">
        <v>45400</v>
      </c>
      <c r="BD6" s="3" t="n">
        <v>45400</v>
      </c>
      <c r="BF6" s="3" t="n">
        <v>45400</v>
      </c>
      <c r="BH6" s="3" t="n">
        <v>45400</v>
      </c>
      <c r="BJ6" s="3" t="n">
        <v>45400</v>
      </c>
      <c r="BL6" s="3" t="n">
        <v>45400</v>
      </c>
      <c r="BN6" s="3" t="n">
        <v>45400</v>
      </c>
      <c r="BP6" s="3" t="n">
        <v>45400</v>
      </c>
      <c r="BR6" s="3" t="n">
        <v>45400</v>
      </c>
      <c r="BS6" s="3" t="n">
        <v>45400</v>
      </c>
      <c r="BT6" s="3" t="n">
        <v>45400</v>
      </c>
      <c r="BU6" s="3" t="n">
        <v>45400</v>
      </c>
      <c r="BV6" s="3" t="n">
        <v>45400</v>
      </c>
      <c r="BW6" s="3" t="n">
        <v>45400</v>
      </c>
      <c r="BX6" s="3" t="n">
        <v>45400</v>
      </c>
      <c r="BY6" s="3" t="n">
        <v>45400</v>
      </c>
      <c r="BZ6" s="3" t="n">
        <v>45400</v>
      </c>
    </row>
    <row r="7" customFormat="false" ht="13.8" hidden="false" customHeight="false" outlineLevel="0" collapsed="false">
      <c r="A7" s="1" t="s">
        <v>23</v>
      </c>
      <c r="B7" s="3" t="n">
        <v>45383</v>
      </c>
      <c r="D7" s="3" t="n">
        <v>45383</v>
      </c>
      <c r="F7" s="3" t="n">
        <v>45383</v>
      </c>
      <c r="H7" s="3" t="n">
        <v>45390</v>
      </c>
      <c r="J7" s="3" t="n">
        <v>45390</v>
      </c>
      <c r="L7" s="3" t="n">
        <v>45383</v>
      </c>
      <c r="N7" s="3" t="n">
        <v>45383</v>
      </c>
      <c r="P7" s="3" t="n">
        <v>45383</v>
      </c>
      <c r="R7" s="3" t="n">
        <v>45390</v>
      </c>
      <c r="T7" s="3" t="n">
        <v>45390</v>
      </c>
      <c r="V7" s="3" t="n">
        <v>45383</v>
      </c>
      <c r="X7" s="3" t="n">
        <v>45383</v>
      </c>
      <c r="Z7" s="3" t="n">
        <v>45383</v>
      </c>
      <c r="AB7" s="3" t="n">
        <v>45390</v>
      </c>
      <c r="AD7" s="3" t="n">
        <v>45390</v>
      </c>
      <c r="AF7" s="3" t="n">
        <v>45383</v>
      </c>
      <c r="AH7" s="3" t="n">
        <v>45383</v>
      </c>
      <c r="AJ7" s="3" t="n">
        <v>45383</v>
      </c>
      <c r="AL7" s="3" t="n">
        <v>45390</v>
      </c>
      <c r="AN7" s="3" t="n">
        <v>45390</v>
      </c>
      <c r="AP7" s="3" t="n">
        <v>45383</v>
      </c>
      <c r="AR7" s="3" t="n">
        <v>45383</v>
      </c>
      <c r="AT7" s="3" t="n">
        <v>45383</v>
      </c>
      <c r="AV7" s="3" t="n">
        <v>45390</v>
      </c>
      <c r="AX7" s="3" t="n">
        <v>45390</v>
      </c>
      <c r="AZ7" s="3" t="n">
        <v>45383</v>
      </c>
      <c r="BB7" s="3" t="n">
        <v>45383</v>
      </c>
      <c r="BD7" s="3" t="n">
        <v>45383</v>
      </c>
      <c r="BF7" s="3" t="n">
        <v>45390</v>
      </c>
      <c r="BH7" s="3" t="n">
        <v>45390</v>
      </c>
      <c r="BJ7" s="3" t="n">
        <v>45383</v>
      </c>
      <c r="BL7" s="3" t="n">
        <v>45390</v>
      </c>
      <c r="BN7" s="3" t="n">
        <v>45390</v>
      </c>
      <c r="BP7" s="3" t="n">
        <v>45383</v>
      </c>
      <c r="BR7" s="3" t="n">
        <v>45383</v>
      </c>
      <c r="BS7" s="3" t="n">
        <v>45383</v>
      </c>
      <c r="BT7" s="3" t="n">
        <v>45383</v>
      </c>
      <c r="BU7" s="3" t="n">
        <v>45383</v>
      </c>
      <c r="BV7" s="3" t="n">
        <v>45383</v>
      </c>
      <c r="BW7" s="3" t="n">
        <v>45383</v>
      </c>
      <c r="BX7" s="3" t="n">
        <v>45383</v>
      </c>
      <c r="BY7" s="3" t="n">
        <v>45383</v>
      </c>
      <c r="BZ7" s="3" t="n">
        <v>45383</v>
      </c>
    </row>
    <row r="8" customFormat="false" ht="13.8" hidden="false" customHeight="false" outlineLevel="0" collapsed="false">
      <c r="A8" s="1" t="s">
        <v>24</v>
      </c>
      <c r="B8" s="3" t="n">
        <v>45398</v>
      </c>
      <c r="D8" s="3" t="n">
        <v>45398</v>
      </c>
      <c r="F8" s="3" t="n">
        <v>45398</v>
      </c>
      <c r="H8" s="3" t="n">
        <v>45398</v>
      </c>
      <c r="J8" s="3" t="n">
        <v>45398</v>
      </c>
      <c r="L8" s="3" t="n">
        <v>45398</v>
      </c>
      <c r="N8" s="3" t="n">
        <v>45398</v>
      </c>
      <c r="P8" s="3" t="n">
        <v>45398</v>
      </c>
      <c r="R8" s="3" t="n">
        <v>45398</v>
      </c>
      <c r="T8" s="3" t="n">
        <v>45398</v>
      </c>
      <c r="V8" s="3" t="n">
        <v>45398</v>
      </c>
      <c r="X8" s="3" t="n">
        <v>45398</v>
      </c>
      <c r="Z8" s="3" t="n">
        <v>45398</v>
      </c>
      <c r="AB8" s="3" t="n">
        <v>45398</v>
      </c>
      <c r="AD8" s="3" t="n">
        <v>45398</v>
      </c>
      <c r="AF8" s="3" t="n">
        <v>45398</v>
      </c>
      <c r="AH8" s="3" t="n">
        <v>45398</v>
      </c>
      <c r="AJ8" s="3" t="n">
        <v>45398</v>
      </c>
      <c r="AL8" s="3" t="n">
        <v>45398</v>
      </c>
      <c r="AN8" s="3" t="n">
        <v>45398</v>
      </c>
      <c r="AP8" s="3" t="n">
        <v>45398</v>
      </c>
      <c r="AR8" s="3" t="n">
        <v>45398</v>
      </c>
      <c r="AT8" s="3" t="n">
        <v>45398</v>
      </c>
      <c r="AV8" s="3" t="n">
        <v>45398</v>
      </c>
      <c r="AX8" s="3" t="n">
        <v>45398</v>
      </c>
      <c r="AZ8" s="3" t="n">
        <v>45398</v>
      </c>
      <c r="BB8" s="3" t="n">
        <v>45398</v>
      </c>
      <c r="BD8" s="3" t="n">
        <v>45398</v>
      </c>
      <c r="BF8" s="3" t="n">
        <v>45398</v>
      </c>
      <c r="BH8" s="3" t="n">
        <v>45398</v>
      </c>
      <c r="BJ8" s="3" t="n">
        <v>45398</v>
      </c>
      <c r="BL8" s="3" t="n">
        <v>45398</v>
      </c>
      <c r="BN8" s="3" t="n">
        <v>45398</v>
      </c>
      <c r="BP8" s="3" t="n">
        <v>45388</v>
      </c>
      <c r="BR8" s="3" t="n">
        <v>45398</v>
      </c>
      <c r="BS8" s="3" t="n">
        <v>45398</v>
      </c>
      <c r="BT8" s="3" t="n">
        <v>45398</v>
      </c>
      <c r="BU8" s="3" t="n">
        <v>45398</v>
      </c>
      <c r="BV8" s="3" t="n">
        <v>45398</v>
      </c>
      <c r="BW8" s="3" t="n">
        <v>45398</v>
      </c>
      <c r="BX8" s="3" t="n">
        <v>45398</v>
      </c>
      <c r="BY8" s="3" t="n">
        <v>45398</v>
      </c>
      <c r="BZ8" s="3" t="n">
        <v>45398</v>
      </c>
    </row>
    <row r="9" customFormat="false" ht="13.8" hidden="false" customHeight="false" outlineLevel="0" collapsed="false">
      <c r="A9" s="1" t="s">
        <v>25</v>
      </c>
      <c r="B9" s="3" t="n">
        <v>45383</v>
      </c>
      <c r="D9" s="3" t="n">
        <v>45383</v>
      </c>
      <c r="F9" s="3" t="n">
        <v>45383</v>
      </c>
      <c r="H9" s="3" t="n">
        <v>45383</v>
      </c>
      <c r="J9" s="3" t="n">
        <v>45383</v>
      </c>
      <c r="L9" s="3" t="n">
        <v>45383</v>
      </c>
      <c r="N9" s="3" t="n">
        <v>45383</v>
      </c>
      <c r="P9" s="3" t="n">
        <v>45383</v>
      </c>
      <c r="R9" s="3" t="n">
        <v>45383</v>
      </c>
      <c r="T9" s="3" t="n">
        <v>45383</v>
      </c>
      <c r="V9" s="3" t="n">
        <v>45383</v>
      </c>
      <c r="X9" s="3" t="n">
        <v>45383</v>
      </c>
      <c r="Z9" s="3" t="n">
        <v>45383</v>
      </c>
      <c r="AB9" s="3" t="n">
        <v>45383</v>
      </c>
      <c r="AD9" s="3" t="n">
        <v>45383</v>
      </c>
      <c r="AF9" s="3" t="n">
        <v>45383</v>
      </c>
      <c r="AH9" s="3" t="n">
        <v>45383</v>
      </c>
      <c r="AJ9" s="3" t="n">
        <v>45383</v>
      </c>
      <c r="AL9" s="3" t="n">
        <v>45383</v>
      </c>
      <c r="AN9" s="3" t="n">
        <v>45383</v>
      </c>
      <c r="AP9" s="3" t="n">
        <v>45383</v>
      </c>
      <c r="AR9" s="3" t="n">
        <v>45383</v>
      </c>
      <c r="AT9" s="3" t="n">
        <v>45383</v>
      </c>
      <c r="AV9" s="3" t="n">
        <v>45383</v>
      </c>
      <c r="AX9" s="3" t="n">
        <v>45383</v>
      </c>
      <c r="AZ9" s="3" t="n">
        <v>45383</v>
      </c>
      <c r="BB9" s="3" t="n">
        <v>45383</v>
      </c>
      <c r="BD9" s="3" t="n">
        <v>45383</v>
      </c>
      <c r="BF9" s="3" t="n">
        <v>45383</v>
      </c>
      <c r="BH9" s="3" t="n">
        <v>45383</v>
      </c>
      <c r="BJ9" s="3" t="n">
        <v>45383</v>
      </c>
      <c r="BL9" s="3" t="n">
        <v>45383</v>
      </c>
      <c r="BN9" s="3" t="n">
        <v>45383</v>
      </c>
      <c r="BP9" s="3" t="n">
        <v>45383</v>
      </c>
    </row>
    <row r="10" customFormat="false" ht="13.8" hidden="false" customHeight="false" outlineLevel="0" collapsed="false">
      <c r="A10" s="1" t="s">
        <v>26</v>
      </c>
      <c r="B10" s="3" t="n">
        <v>45400</v>
      </c>
      <c r="D10" s="3" t="n">
        <v>45400</v>
      </c>
      <c r="F10" s="3" t="n">
        <v>45400</v>
      </c>
      <c r="H10" s="3" t="n">
        <v>45400</v>
      </c>
      <c r="J10" s="3" t="n">
        <v>45400</v>
      </c>
      <c r="L10" s="3" t="n">
        <v>45400</v>
      </c>
      <c r="N10" s="3" t="n">
        <v>45400</v>
      </c>
      <c r="P10" s="3" t="n">
        <v>45400</v>
      </c>
      <c r="R10" s="3" t="n">
        <v>45400</v>
      </c>
      <c r="T10" s="3" t="n">
        <v>45400</v>
      </c>
      <c r="V10" s="3" t="n">
        <v>45400</v>
      </c>
      <c r="X10" s="3" t="n">
        <v>45400</v>
      </c>
      <c r="Z10" s="3" t="n">
        <v>45400</v>
      </c>
      <c r="AB10" s="3" t="n">
        <v>45400</v>
      </c>
      <c r="AD10" s="3" t="n">
        <v>45400</v>
      </c>
      <c r="AF10" s="3" t="n">
        <v>45400</v>
      </c>
      <c r="AH10" s="3" t="n">
        <v>45400</v>
      </c>
      <c r="AJ10" s="3" t="n">
        <v>45400</v>
      </c>
      <c r="AL10" s="3" t="n">
        <v>45400</v>
      </c>
      <c r="AN10" s="3" t="n">
        <v>45400</v>
      </c>
      <c r="AP10" s="3" t="n">
        <v>45400</v>
      </c>
      <c r="AR10" s="3" t="n">
        <v>45400</v>
      </c>
      <c r="AT10" s="3" t="n">
        <v>45400</v>
      </c>
      <c r="AV10" s="3" t="n">
        <v>45400</v>
      </c>
      <c r="AX10" s="3" t="n">
        <v>45400</v>
      </c>
      <c r="AZ10" s="3" t="n">
        <v>45400</v>
      </c>
      <c r="BB10" s="3" t="n">
        <v>45400</v>
      </c>
      <c r="BD10" s="3" t="n">
        <v>45400</v>
      </c>
      <c r="BF10" s="3" t="n">
        <v>45400</v>
      </c>
      <c r="BH10" s="3" t="n">
        <v>45400</v>
      </c>
      <c r="BJ10" s="3" t="n">
        <v>45400</v>
      </c>
      <c r="BL10" s="3" t="n">
        <v>45400</v>
      </c>
      <c r="BN10" s="3" t="n">
        <v>45400</v>
      </c>
      <c r="BP10" s="3" t="n">
        <v>45400</v>
      </c>
    </row>
    <row r="11" customFormat="false" ht="13.8" hidden="false" customHeight="false" outlineLevel="0" collapsed="false">
      <c r="A11" s="1" t="s">
        <v>27</v>
      </c>
      <c r="B11" s="2" t="s">
        <v>28</v>
      </c>
      <c r="D11" s="2" t="s">
        <v>28</v>
      </c>
      <c r="F11" s="2" t="s">
        <v>28</v>
      </c>
      <c r="H11" s="2" t="s">
        <v>28</v>
      </c>
      <c r="J11" s="2" t="s">
        <v>28</v>
      </c>
      <c r="L11" s="2" t="s">
        <v>28</v>
      </c>
      <c r="N11" s="2" t="s">
        <v>28</v>
      </c>
      <c r="P11" s="2" t="s">
        <v>28</v>
      </c>
      <c r="R11" s="2" t="s">
        <v>28</v>
      </c>
      <c r="T11" s="2" t="s">
        <v>28</v>
      </c>
      <c r="V11" s="2" t="s">
        <v>28</v>
      </c>
      <c r="X11" s="2" t="s">
        <v>28</v>
      </c>
      <c r="Z11" s="2" t="s">
        <v>28</v>
      </c>
      <c r="AB11" s="2" t="s">
        <v>28</v>
      </c>
      <c r="AD11" s="2" t="s">
        <v>28</v>
      </c>
      <c r="AF11" s="2" t="s">
        <v>28</v>
      </c>
      <c r="AH11" s="2" t="s">
        <v>28</v>
      </c>
      <c r="AJ11" s="2" t="s">
        <v>28</v>
      </c>
      <c r="AL11" s="2" t="s">
        <v>28</v>
      </c>
      <c r="AN11" s="2" t="s">
        <v>28</v>
      </c>
      <c r="AP11" s="2" t="s">
        <v>28</v>
      </c>
      <c r="AR11" s="2" t="s">
        <v>28</v>
      </c>
      <c r="AT11" s="2" t="s">
        <v>28</v>
      </c>
      <c r="AV11" s="2" t="s">
        <v>28</v>
      </c>
      <c r="AX11" s="2" t="s">
        <v>28</v>
      </c>
      <c r="AZ11" s="2" t="s">
        <v>28</v>
      </c>
      <c r="BB11" s="2" t="s">
        <v>28</v>
      </c>
      <c r="BD11" s="2" t="s">
        <v>28</v>
      </c>
      <c r="BF11" s="2" t="s">
        <v>28</v>
      </c>
      <c r="BH11" s="2" t="s">
        <v>28</v>
      </c>
      <c r="BJ11" s="2" t="s">
        <v>28</v>
      </c>
      <c r="BL11" s="2" t="s">
        <v>28</v>
      </c>
      <c r="BN11" s="2" t="s">
        <v>28</v>
      </c>
      <c r="BP11" s="2" t="s">
        <v>28</v>
      </c>
    </row>
    <row r="12" customFormat="false" ht="13.8" hidden="false" customHeight="false" outlineLevel="0" collapsed="false">
      <c r="A12" s="1" t="s">
        <v>29</v>
      </c>
      <c r="B12" s="2" t="s">
        <v>30</v>
      </c>
      <c r="D12" s="2" t="s">
        <v>30</v>
      </c>
      <c r="F12" s="2" t="s">
        <v>30</v>
      </c>
      <c r="H12" s="2" t="s">
        <v>30</v>
      </c>
      <c r="J12" s="2" t="s">
        <v>30</v>
      </c>
      <c r="L12" s="2" t="s">
        <v>30</v>
      </c>
      <c r="N12" s="2" t="s">
        <v>30</v>
      </c>
      <c r="P12" s="2" t="s">
        <v>30</v>
      </c>
      <c r="R12" s="2" t="s">
        <v>30</v>
      </c>
      <c r="T12" s="2" t="s">
        <v>30</v>
      </c>
      <c r="V12" s="2" t="s">
        <v>30</v>
      </c>
      <c r="X12" s="2" t="s">
        <v>30</v>
      </c>
      <c r="Z12" s="2" t="s">
        <v>30</v>
      </c>
      <c r="AB12" s="2" t="s">
        <v>30</v>
      </c>
      <c r="AD12" s="2" t="s">
        <v>30</v>
      </c>
      <c r="AF12" s="2" t="s">
        <v>30</v>
      </c>
      <c r="AH12" s="2" t="s">
        <v>30</v>
      </c>
      <c r="AJ12" s="2" t="s">
        <v>30</v>
      </c>
      <c r="AL12" s="2" t="s">
        <v>30</v>
      </c>
      <c r="AN12" s="2" t="s">
        <v>30</v>
      </c>
      <c r="AP12" s="2" t="s">
        <v>30</v>
      </c>
      <c r="AR12" s="2" t="s">
        <v>30</v>
      </c>
      <c r="AT12" s="2" t="s">
        <v>30</v>
      </c>
      <c r="AV12" s="2" t="s">
        <v>30</v>
      </c>
      <c r="AX12" s="2" t="s">
        <v>30</v>
      </c>
      <c r="AZ12" s="2" t="s">
        <v>30</v>
      </c>
      <c r="BB12" s="2" t="s">
        <v>30</v>
      </c>
      <c r="BD12" s="2" t="s">
        <v>30</v>
      </c>
      <c r="BF12" s="2" t="s">
        <v>30</v>
      </c>
      <c r="BH12" s="2" t="s">
        <v>30</v>
      </c>
      <c r="BJ12" s="2" t="s">
        <v>30</v>
      </c>
      <c r="BL12" s="2" t="s">
        <v>30</v>
      </c>
      <c r="BN12" s="2" t="s">
        <v>30</v>
      </c>
      <c r="BP12" s="2" t="s">
        <v>30</v>
      </c>
    </row>
    <row r="13" customFormat="false" ht="13.8" hidden="false" customHeight="false" outlineLevel="0" collapsed="false">
      <c r="A13" s="1" t="s">
        <v>31</v>
      </c>
    </row>
    <row r="14" customFormat="false" ht="13.8" hidden="false" customHeight="false" outlineLevel="0" collapsed="false">
      <c r="A14" s="1" t="s">
        <v>32</v>
      </c>
      <c r="B14" s="2" t="s">
        <v>33</v>
      </c>
      <c r="D14" s="2" t="s">
        <v>34</v>
      </c>
      <c r="F14" s="2" t="s">
        <v>35</v>
      </c>
      <c r="H14" s="2" t="s">
        <v>36</v>
      </c>
      <c r="J14" s="2" t="s">
        <v>37</v>
      </c>
      <c r="L14" s="2" t="s">
        <v>33</v>
      </c>
      <c r="N14" s="2" t="s">
        <v>34</v>
      </c>
      <c r="P14" s="2" t="s">
        <v>35</v>
      </c>
      <c r="R14" s="2" t="s">
        <v>36</v>
      </c>
      <c r="T14" s="2" t="s">
        <v>37</v>
      </c>
      <c r="V14" s="2" t="s">
        <v>33</v>
      </c>
      <c r="X14" s="2" t="s">
        <v>34</v>
      </c>
      <c r="Z14" s="2" t="s">
        <v>35</v>
      </c>
      <c r="AB14" s="2" t="s">
        <v>36</v>
      </c>
      <c r="AD14" s="2" t="s">
        <v>37</v>
      </c>
      <c r="AF14" s="2" t="s">
        <v>33</v>
      </c>
      <c r="AH14" s="2" t="s">
        <v>34</v>
      </c>
      <c r="AJ14" s="2" t="s">
        <v>35</v>
      </c>
      <c r="AL14" s="2" t="s">
        <v>36</v>
      </c>
      <c r="AN14" s="2" t="s">
        <v>37</v>
      </c>
      <c r="AP14" s="2" t="s">
        <v>33</v>
      </c>
      <c r="AR14" s="2" t="s">
        <v>34</v>
      </c>
      <c r="AT14" s="2" t="s">
        <v>35</v>
      </c>
      <c r="AV14" s="2" t="s">
        <v>36</v>
      </c>
      <c r="AX14" s="2" t="s">
        <v>37</v>
      </c>
      <c r="AZ14" s="2" t="s">
        <v>33</v>
      </c>
      <c r="BB14" s="2" t="s">
        <v>34</v>
      </c>
      <c r="BD14" s="2" t="s">
        <v>35</v>
      </c>
      <c r="BF14" s="2" t="s">
        <v>36</v>
      </c>
      <c r="BH14" s="2" t="s">
        <v>37</v>
      </c>
      <c r="BJ14" s="2" t="s">
        <v>38</v>
      </c>
      <c r="BL14" s="2" t="s">
        <v>39</v>
      </c>
      <c r="BN14" s="2" t="s">
        <v>40</v>
      </c>
      <c r="BP14" s="2" t="s">
        <v>41</v>
      </c>
      <c r="BR14" s="2" t="s">
        <v>33</v>
      </c>
      <c r="BS14" s="2" t="s">
        <v>34</v>
      </c>
      <c r="BT14" s="2" t="s">
        <v>35</v>
      </c>
      <c r="BU14" s="2" t="s">
        <v>36</v>
      </c>
      <c r="BV14" s="2" t="s">
        <v>37</v>
      </c>
      <c r="BW14" s="2" t="s">
        <v>38</v>
      </c>
      <c r="BX14" s="2" t="s">
        <v>39</v>
      </c>
      <c r="BY14" s="2" t="s">
        <v>40</v>
      </c>
      <c r="BZ14" s="2" t="s">
        <v>41</v>
      </c>
    </row>
    <row r="15" customFormat="false" ht="13.8" hidden="false" customHeight="false" outlineLevel="0" collapsed="false">
      <c r="A15" s="1" t="s">
        <v>42</v>
      </c>
      <c r="B15" s="0" t="s">
        <v>43</v>
      </c>
      <c r="D15" s="0" t="s">
        <v>43</v>
      </c>
      <c r="F15" s="0" t="s">
        <v>43</v>
      </c>
      <c r="H15" s="0" t="s">
        <v>43</v>
      </c>
      <c r="J15" s="0" t="s">
        <v>43</v>
      </c>
      <c r="L15" s="0" t="s">
        <v>43</v>
      </c>
      <c r="N15" s="0" t="s">
        <v>43</v>
      </c>
      <c r="P15" s="0" t="s">
        <v>43</v>
      </c>
      <c r="R15" s="0" t="s">
        <v>43</v>
      </c>
      <c r="T15" s="0" t="s">
        <v>43</v>
      </c>
      <c r="V15" s="0" t="s">
        <v>43</v>
      </c>
      <c r="X15" s="0" t="s">
        <v>43</v>
      </c>
      <c r="Z15" s="0" t="s">
        <v>43</v>
      </c>
      <c r="AB15" s="0" t="s">
        <v>43</v>
      </c>
      <c r="AD15" s="0" t="s">
        <v>43</v>
      </c>
      <c r="AF15" s="0" t="s">
        <v>43</v>
      </c>
      <c r="AH15" s="0" t="s">
        <v>43</v>
      </c>
      <c r="AJ15" s="0" t="s">
        <v>43</v>
      </c>
      <c r="AL15" s="0" t="s">
        <v>43</v>
      </c>
      <c r="AN15" s="0" t="s">
        <v>43</v>
      </c>
      <c r="AP15" s="0" t="s">
        <v>43</v>
      </c>
      <c r="AR15" s="0" t="s">
        <v>43</v>
      </c>
      <c r="AT15" s="0" t="s">
        <v>43</v>
      </c>
      <c r="AV15" s="0" t="s">
        <v>43</v>
      </c>
      <c r="AX15" s="0" t="s">
        <v>43</v>
      </c>
      <c r="AZ15" s="0" t="s">
        <v>43</v>
      </c>
      <c r="BB15" s="0" t="s">
        <v>43</v>
      </c>
      <c r="BD15" s="0" t="s">
        <v>43</v>
      </c>
      <c r="BF15" s="0" t="s">
        <v>43</v>
      </c>
      <c r="BH15" s="0" t="s">
        <v>43</v>
      </c>
      <c r="BJ15" s="0" t="s">
        <v>43</v>
      </c>
      <c r="BL15" s="0" t="s">
        <v>43</v>
      </c>
      <c r="BN15" s="0" t="s">
        <v>43</v>
      </c>
      <c r="BP15" s="0" t="s">
        <v>43</v>
      </c>
    </row>
    <row r="16" customFormat="false" ht="13.9" hidden="false" customHeight="false" outlineLevel="0" collapsed="false">
      <c r="A16" s="4" t="s">
        <v>44</v>
      </c>
      <c r="B16" s="5" t="n">
        <v>3409.556</v>
      </c>
      <c r="C16" s="2" t="s">
        <v>45</v>
      </c>
      <c r="D16" s="5" t="n">
        <v>3105.315377</v>
      </c>
      <c r="E16" s="2" t="s">
        <v>45</v>
      </c>
      <c r="F16" s="5" t="n">
        <v>1564.647113</v>
      </c>
      <c r="G16" s="2" t="s">
        <v>45</v>
      </c>
      <c r="H16" s="5" t="n">
        <v>873.441261</v>
      </c>
      <c r="I16" s="2" t="s">
        <v>45</v>
      </c>
      <c r="J16" s="5" t="n">
        <v>1908.533</v>
      </c>
      <c r="K16" s="2" t="s">
        <v>45</v>
      </c>
      <c r="L16" s="5" t="n">
        <v>3278.325</v>
      </c>
      <c r="M16" s="2" t="s">
        <v>45</v>
      </c>
      <c r="N16" s="5" t="n">
        <v>4115.840149</v>
      </c>
      <c r="O16" s="2" t="s">
        <v>45</v>
      </c>
      <c r="P16" s="5" t="n">
        <v>2134.702519</v>
      </c>
      <c r="Q16" s="2" t="s">
        <v>45</v>
      </c>
      <c r="R16" s="5" t="n">
        <v>1180.882252</v>
      </c>
      <c r="S16" s="2" t="s">
        <v>45</v>
      </c>
      <c r="T16" s="5" t="n">
        <v>1824.874</v>
      </c>
      <c r="U16" s="2" t="s">
        <v>45</v>
      </c>
      <c r="V16" s="5" t="n">
        <v>2596.741</v>
      </c>
      <c r="W16" s="2" t="s">
        <v>45</v>
      </c>
      <c r="X16" s="5" t="n">
        <v>2715.321759</v>
      </c>
      <c r="Y16" s="2" t="s">
        <v>45</v>
      </c>
      <c r="Z16" s="5" t="n">
        <v>1525.80286</v>
      </c>
      <c r="AA16" s="2" t="s">
        <v>45</v>
      </c>
      <c r="AB16" s="5" t="n">
        <v>935.921582</v>
      </c>
      <c r="AC16" s="2" t="s">
        <v>45</v>
      </c>
      <c r="AD16" s="5" t="n">
        <v>1619.477</v>
      </c>
      <c r="AE16" s="2" t="s">
        <v>45</v>
      </c>
      <c r="AF16" s="5" t="n">
        <v>1258.141</v>
      </c>
      <c r="AG16" s="2" t="s">
        <v>45</v>
      </c>
      <c r="AH16" s="5" t="n">
        <v>1416.301137</v>
      </c>
      <c r="AI16" s="2" t="s">
        <v>45</v>
      </c>
      <c r="AJ16" s="5" t="n">
        <v>763.172861</v>
      </c>
      <c r="AK16" s="2" t="s">
        <v>45</v>
      </c>
      <c r="AL16" s="5" t="n">
        <v>445.913786</v>
      </c>
      <c r="AM16" s="2" t="s">
        <v>45</v>
      </c>
      <c r="AN16" s="5" t="n">
        <v>746.697</v>
      </c>
      <c r="AO16" s="2" t="s">
        <v>45</v>
      </c>
      <c r="AP16" s="5" t="n">
        <v>10905.735</v>
      </c>
      <c r="AQ16" s="2" t="s">
        <v>45</v>
      </c>
      <c r="AR16" s="5" t="n">
        <v>12223.879058</v>
      </c>
      <c r="AS16" s="2" t="s">
        <v>45</v>
      </c>
      <c r="AT16" s="5" t="n">
        <v>5949.085227</v>
      </c>
      <c r="AU16" s="2" t="s">
        <v>45</v>
      </c>
      <c r="AV16" s="5" t="n">
        <v>3092.31082</v>
      </c>
      <c r="AW16" s="2" t="s">
        <v>45</v>
      </c>
      <c r="AX16" s="5" t="n">
        <v>5754.81</v>
      </c>
      <c r="AY16" s="2" t="s">
        <v>45</v>
      </c>
      <c r="AZ16" s="5" t="n">
        <v>5948.34</v>
      </c>
      <c r="BA16" s="2" t="s">
        <v>45</v>
      </c>
      <c r="BB16" s="5" t="n">
        <v>8214.252505</v>
      </c>
      <c r="BC16" s="2" t="s">
        <v>45</v>
      </c>
      <c r="BD16" s="5" t="n">
        <v>4020.56041</v>
      </c>
      <c r="BE16" s="2" t="s">
        <v>45</v>
      </c>
      <c r="BF16" s="5" t="n">
        <v>2128.478795</v>
      </c>
      <c r="BG16" s="2" t="s">
        <v>45</v>
      </c>
      <c r="BH16" s="5" t="n">
        <v>3197.01</v>
      </c>
      <c r="BI16" s="2" t="s">
        <v>45</v>
      </c>
      <c r="BJ16" s="5" t="n">
        <v>26882.73</v>
      </c>
      <c r="BK16" s="2" t="s">
        <v>45</v>
      </c>
      <c r="BL16" s="5" t="n">
        <v>17113.11</v>
      </c>
      <c r="BM16" s="2" t="s">
        <v>45</v>
      </c>
      <c r="BN16" s="5" t="n">
        <v>8456.161542</v>
      </c>
      <c r="BO16" s="2" t="s">
        <v>45</v>
      </c>
      <c r="BP16" s="5" t="n">
        <v>4621.777029</v>
      </c>
      <c r="BQ16" s="2" t="s">
        <v>45</v>
      </c>
      <c r="BR16" s="5" t="n">
        <v>27396.838</v>
      </c>
      <c r="BS16" s="5" t="n">
        <v>31790.909985</v>
      </c>
      <c r="BT16" s="5" t="n">
        <v>15957.97099</v>
      </c>
      <c r="BU16" s="5" t="n">
        <v>8656.948496</v>
      </c>
      <c r="BV16" s="5" t="n">
        <v>15051.401</v>
      </c>
      <c r="BW16" s="5" t="n">
        <v>26882.73</v>
      </c>
      <c r="BX16" s="5" t="n">
        <v>17113.11</v>
      </c>
      <c r="BY16" s="5" t="n">
        <v>8456.161542</v>
      </c>
      <c r="BZ16" s="5" t="n">
        <v>4621.777029</v>
      </c>
    </row>
    <row r="17" customFormat="false" ht="13.8" hidden="false" customHeight="false" outlineLevel="0" collapsed="false">
      <c r="A17" s="3" t="n">
        <v>45383.2708333333</v>
      </c>
      <c r="B17" s="5" t="n">
        <v>1.704</v>
      </c>
      <c r="C17" s="2" t="s">
        <v>46</v>
      </c>
      <c r="D17" s="5" t="n">
        <v>0.020107</v>
      </c>
      <c r="E17" s="2" t="s">
        <v>46</v>
      </c>
      <c r="F17" s="5" t="n">
        <v>0.020107</v>
      </c>
      <c r="G17" s="2" t="s">
        <v>46</v>
      </c>
      <c r="H17" s="5" t="n">
        <f aca="false">F17*0.8</f>
        <v>0.0160856</v>
      </c>
      <c r="L17" s="5" t="n">
        <v>1.101</v>
      </c>
      <c r="M17" s="2" t="s">
        <v>46</v>
      </c>
      <c r="N17" s="5" t="n">
        <v>0.012992</v>
      </c>
      <c r="O17" s="2" t="s">
        <v>46</v>
      </c>
      <c r="P17" s="5" t="n">
        <v>0.012992</v>
      </c>
      <c r="Q17" s="2" t="s">
        <v>46</v>
      </c>
      <c r="V17" s="5" t="n">
        <v>0.941</v>
      </c>
      <c r="W17" s="2" t="s">
        <v>46</v>
      </c>
      <c r="X17" s="5" t="n">
        <v>0.011104</v>
      </c>
      <c r="Y17" s="2" t="s">
        <v>46</v>
      </c>
      <c r="Z17" s="5" t="n">
        <v>0.011104</v>
      </c>
      <c r="AA17" s="2" t="s">
        <v>46</v>
      </c>
      <c r="AF17" s="5" t="n">
        <v>0.056</v>
      </c>
      <c r="AG17" s="2" t="s">
        <v>46</v>
      </c>
      <c r="AH17" s="5" t="n">
        <v>0.000661</v>
      </c>
      <c r="AI17" s="2" t="s">
        <v>46</v>
      </c>
      <c r="AJ17" s="5" t="n">
        <v>0.000661</v>
      </c>
      <c r="AK17" s="2" t="s">
        <v>46</v>
      </c>
      <c r="AP17" s="5" t="n">
        <v>3.5475</v>
      </c>
      <c r="AQ17" s="2" t="s">
        <v>46</v>
      </c>
      <c r="AR17" s="5" t="n">
        <v>0.04186</v>
      </c>
      <c r="AS17" s="2" t="s">
        <v>46</v>
      </c>
      <c r="AT17" s="5" t="n">
        <v>0.04186</v>
      </c>
      <c r="AU17" s="2" t="s">
        <v>46</v>
      </c>
      <c r="AZ17" s="5" t="n">
        <v>2.82</v>
      </c>
      <c r="BA17" s="2" t="s">
        <v>46</v>
      </c>
      <c r="BB17" s="5" t="n">
        <v>0.033276</v>
      </c>
      <c r="BC17" s="2" t="s">
        <v>46</v>
      </c>
      <c r="BD17" s="5" t="n">
        <v>0.033276</v>
      </c>
      <c r="BE17" s="2" t="s">
        <v>46</v>
      </c>
      <c r="BJ17" s="5" t="n">
        <v>0.12</v>
      </c>
      <c r="BK17" s="2" t="s">
        <v>46</v>
      </c>
      <c r="BP17" s="5" t="n">
        <v>0</v>
      </c>
      <c r="BQ17" s="2" t="s">
        <v>46</v>
      </c>
      <c r="BR17" s="5" t="n">
        <v>10.1695</v>
      </c>
      <c r="BS17" s="5" t="n">
        <v>0.12</v>
      </c>
      <c r="BT17" s="5" t="n">
        <v>0.12</v>
      </c>
      <c r="BU17" s="5" t="n">
        <v>0</v>
      </c>
      <c r="BV17" s="5" t="n">
        <v>0</v>
      </c>
      <c r="BW17" s="5" t="n">
        <v>0.12</v>
      </c>
      <c r="BX17" s="5" t="n">
        <v>0</v>
      </c>
      <c r="BY17" s="5" t="n">
        <v>0</v>
      </c>
      <c r="BZ17" s="5" t="n">
        <v>0</v>
      </c>
    </row>
    <row r="18" customFormat="false" ht="13.8" hidden="false" customHeight="false" outlineLevel="0" collapsed="false">
      <c r="A18" s="3" t="n">
        <v>45383.28125</v>
      </c>
      <c r="B18" s="5" t="n">
        <v>1.574</v>
      </c>
      <c r="C18" s="2" t="s">
        <v>46</v>
      </c>
      <c r="D18" s="5" t="n">
        <v>0.150035</v>
      </c>
      <c r="E18" s="2" t="s">
        <v>46</v>
      </c>
      <c r="F18" s="5" t="n">
        <v>0.150035</v>
      </c>
      <c r="G18" s="2" t="s">
        <v>46</v>
      </c>
      <c r="H18" s="5" t="n">
        <f aca="false">F18*0.8</f>
        <v>0.120028</v>
      </c>
      <c r="L18" s="5" t="n">
        <v>1.14</v>
      </c>
      <c r="M18" s="2" t="s">
        <v>46</v>
      </c>
      <c r="N18" s="5" t="n">
        <v>0.108666</v>
      </c>
      <c r="O18" s="2" t="s">
        <v>46</v>
      </c>
      <c r="P18" s="5" t="n">
        <v>0.108666</v>
      </c>
      <c r="Q18" s="2" t="s">
        <v>46</v>
      </c>
      <c r="V18" s="5" t="n">
        <v>0.332</v>
      </c>
      <c r="W18" s="2" t="s">
        <v>46</v>
      </c>
      <c r="X18" s="5" t="n">
        <v>0.031647</v>
      </c>
      <c r="Y18" s="2" t="s">
        <v>46</v>
      </c>
      <c r="Z18" s="5" t="n">
        <v>0.031647</v>
      </c>
      <c r="AA18" s="2" t="s">
        <v>46</v>
      </c>
      <c r="AF18" s="5" t="n">
        <v>0.073</v>
      </c>
      <c r="AG18" s="2" t="s">
        <v>46</v>
      </c>
      <c r="AH18" s="5" t="n">
        <v>0.006958</v>
      </c>
      <c r="AI18" s="2" t="s">
        <v>46</v>
      </c>
      <c r="AJ18" s="5" t="n">
        <v>0.006958</v>
      </c>
      <c r="AK18" s="2" t="s">
        <v>46</v>
      </c>
      <c r="AP18" s="5" t="n">
        <v>3.9075</v>
      </c>
      <c r="AQ18" s="2" t="s">
        <v>46</v>
      </c>
      <c r="AR18" s="5" t="n">
        <v>0.372467</v>
      </c>
      <c r="AS18" s="2" t="s">
        <v>46</v>
      </c>
      <c r="AT18" s="5" t="n">
        <v>0.372467</v>
      </c>
      <c r="AU18" s="2" t="s">
        <v>46</v>
      </c>
      <c r="AZ18" s="5" t="n">
        <v>2.73</v>
      </c>
      <c r="BA18" s="2" t="s">
        <v>46</v>
      </c>
      <c r="BB18" s="5" t="n">
        <v>0.260227</v>
      </c>
      <c r="BC18" s="2" t="s">
        <v>46</v>
      </c>
      <c r="BD18" s="5" t="n">
        <v>0.260227</v>
      </c>
      <c r="BE18" s="2" t="s">
        <v>46</v>
      </c>
      <c r="BJ18" s="5" t="n">
        <v>0.93</v>
      </c>
      <c r="BK18" s="2" t="s">
        <v>46</v>
      </c>
      <c r="BP18" s="5" t="n">
        <v>0</v>
      </c>
      <c r="BQ18" s="2" t="s">
        <v>46</v>
      </c>
      <c r="BR18" s="5" t="n">
        <v>9.7565</v>
      </c>
      <c r="BS18" s="5" t="n">
        <v>0.93</v>
      </c>
      <c r="BT18" s="5" t="n">
        <v>0.93</v>
      </c>
      <c r="BU18" s="5" t="n">
        <v>0</v>
      </c>
      <c r="BV18" s="5" t="n">
        <v>0</v>
      </c>
      <c r="BW18" s="5" t="n">
        <v>0.93</v>
      </c>
      <c r="BX18" s="5" t="n">
        <v>0</v>
      </c>
      <c r="BY18" s="5" t="n">
        <v>0</v>
      </c>
      <c r="BZ18" s="5" t="n">
        <v>0</v>
      </c>
    </row>
    <row r="19" customFormat="false" ht="13.8" hidden="false" customHeight="false" outlineLevel="0" collapsed="false">
      <c r="A19" s="3" t="n">
        <v>45383.2916666667</v>
      </c>
      <c r="B19" s="5" t="n">
        <v>1.395</v>
      </c>
      <c r="C19" s="2" t="s">
        <v>46</v>
      </c>
      <c r="D19" s="5" t="n">
        <v>0.36197</v>
      </c>
      <c r="E19" s="2" t="s">
        <v>46</v>
      </c>
      <c r="F19" s="5" t="n">
        <v>0.36197</v>
      </c>
      <c r="G19" s="2" t="s">
        <v>46</v>
      </c>
      <c r="H19" s="5" t="n">
        <f aca="false">F19*0.8</f>
        <v>0.289576</v>
      </c>
      <c r="L19" s="5" t="n">
        <v>1.081</v>
      </c>
      <c r="M19" s="2" t="s">
        <v>46</v>
      </c>
      <c r="N19" s="5" t="n">
        <v>0.280494</v>
      </c>
      <c r="O19" s="2" t="s">
        <v>46</v>
      </c>
      <c r="P19" s="5" t="n">
        <v>0.280494</v>
      </c>
      <c r="Q19" s="2" t="s">
        <v>46</v>
      </c>
      <c r="V19" s="5" t="n">
        <v>0.857</v>
      </c>
      <c r="W19" s="2" t="s">
        <v>46</v>
      </c>
      <c r="X19" s="5" t="n">
        <v>0.222371</v>
      </c>
      <c r="Y19" s="2" t="s">
        <v>46</v>
      </c>
      <c r="Z19" s="5" t="n">
        <v>0.222371</v>
      </c>
      <c r="AA19" s="2" t="s">
        <v>46</v>
      </c>
      <c r="AF19" s="5" t="n">
        <v>0.07</v>
      </c>
      <c r="AG19" s="2" t="s">
        <v>46</v>
      </c>
      <c r="AH19" s="5" t="n">
        <v>0.018163</v>
      </c>
      <c r="AI19" s="2" t="s">
        <v>46</v>
      </c>
      <c r="AJ19" s="5" t="n">
        <v>0.018163</v>
      </c>
      <c r="AK19" s="2" t="s">
        <v>46</v>
      </c>
      <c r="AP19" s="5" t="n">
        <v>4.7475</v>
      </c>
      <c r="AQ19" s="2" t="s">
        <v>46</v>
      </c>
      <c r="AR19" s="5" t="n">
        <v>1.231865</v>
      </c>
      <c r="AS19" s="2" t="s">
        <v>46</v>
      </c>
      <c r="AT19" s="5" t="n">
        <v>1.231865</v>
      </c>
      <c r="AU19" s="2" t="s">
        <v>46</v>
      </c>
      <c r="AZ19" s="5" t="n">
        <v>3.18</v>
      </c>
      <c r="BA19" s="2" t="s">
        <v>46</v>
      </c>
      <c r="BB19" s="5" t="n">
        <v>0.825136</v>
      </c>
      <c r="BC19" s="2" t="s">
        <v>46</v>
      </c>
      <c r="BD19" s="5" t="n">
        <v>0.825136</v>
      </c>
      <c r="BE19" s="2" t="s">
        <v>46</v>
      </c>
      <c r="BJ19" s="5" t="n">
        <v>2.94</v>
      </c>
      <c r="BK19" s="2" t="s">
        <v>46</v>
      </c>
      <c r="BP19" s="5" t="n">
        <v>0.1</v>
      </c>
      <c r="BQ19" s="2" t="s">
        <v>46</v>
      </c>
      <c r="BR19" s="5" t="n">
        <v>11.3305</v>
      </c>
      <c r="BS19" s="5" t="n">
        <v>2.939999</v>
      </c>
      <c r="BT19" s="5" t="n">
        <v>2.939999</v>
      </c>
      <c r="BU19" s="5" t="n">
        <v>0</v>
      </c>
      <c r="BV19" s="5" t="n">
        <v>0</v>
      </c>
      <c r="BW19" s="5" t="n">
        <v>2.94</v>
      </c>
      <c r="BX19" s="5" t="n">
        <v>0</v>
      </c>
      <c r="BY19" s="5" t="n">
        <v>0</v>
      </c>
      <c r="BZ19" s="5" t="n">
        <v>1E-006</v>
      </c>
    </row>
    <row r="20" customFormat="false" ht="13.8" hidden="false" customHeight="false" outlineLevel="0" collapsed="false">
      <c r="A20" s="3" t="n">
        <v>45383.3020833333</v>
      </c>
      <c r="B20" s="5" t="n">
        <v>1.814</v>
      </c>
      <c r="C20" s="2" t="s">
        <v>46</v>
      </c>
      <c r="D20" s="5" t="n">
        <v>0.619655</v>
      </c>
      <c r="E20" s="2" t="s">
        <v>46</v>
      </c>
      <c r="F20" s="5" t="n">
        <v>0.619655</v>
      </c>
      <c r="G20" s="2" t="s">
        <v>46</v>
      </c>
      <c r="H20" s="5" t="n">
        <f aca="false">F20*0.8</f>
        <v>0.495724</v>
      </c>
      <c r="L20" s="5" t="n">
        <v>1.146</v>
      </c>
      <c r="M20" s="2" t="s">
        <v>46</v>
      </c>
      <c r="N20" s="5" t="n">
        <v>0.391469</v>
      </c>
      <c r="O20" s="2" t="s">
        <v>46</v>
      </c>
      <c r="P20" s="5" t="n">
        <v>0.391469</v>
      </c>
      <c r="Q20" s="2" t="s">
        <v>46</v>
      </c>
      <c r="V20" s="5" t="n">
        <v>0.617</v>
      </c>
      <c r="W20" s="2" t="s">
        <v>46</v>
      </c>
      <c r="X20" s="5" t="n">
        <v>0.210765</v>
      </c>
      <c r="Y20" s="2" t="s">
        <v>46</v>
      </c>
      <c r="Z20" s="5" t="n">
        <v>0.210765</v>
      </c>
      <c r="AA20" s="2" t="s">
        <v>46</v>
      </c>
      <c r="AF20" s="5" t="n">
        <v>0.063</v>
      </c>
      <c r="AG20" s="2" t="s">
        <v>46</v>
      </c>
      <c r="AH20" s="5" t="n">
        <v>0.021521</v>
      </c>
      <c r="AI20" s="2" t="s">
        <v>46</v>
      </c>
      <c r="AJ20" s="5" t="n">
        <v>0.021521</v>
      </c>
      <c r="AK20" s="2" t="s">
        <v>46</v>
      </c>
      <c r="AP20" s="5" t="n">
        <v>5.16</v>
      </c>
      <c r="AQ20" s="2" t="s">
        <v>46</v>
      </c>
      <c r="AR20" s="5" t="n">
        <v>1.762634</v>
      </c>
      <c r="AS20" s="2" t="s">
        <v>46</v>
      </c>
      <c r="AT20" s="5" t="n">
        <v>1.762634</v>
      </c>
      <c r="AU20" s="2" t="s">
        <v>46</v>
      </c>
      <c r="AZ20" s="5" t="n">
        <v>4.11</v>
      </c>
      <c r="BA20" s="2" t="s">
        <v>46</v>
      </c>
      <c r="BB20" s="5" t="n">
        <v>1.403958</v>
      </c>
      <c r="BC20" s="2" t="s">
        <v>46</v>
      </c>
      <c r="BD20" s="5" t="n">
        <v>1.403958</v>
      </c>
      <c r="BE20" s="2" t="s">
        <v>46</v>
      </c>
      <c r="BJ20" s="5" t="n">
        <v>4.41</v>
      </c>
      <c r="BK20" s="2" t="s">
        <v>46</v>
      </c>
      <c r="BP20" s="5" t="n">
        <v>0</v>
      </c>
      <c r="BQ20" s="2" t="s">
        <v>46</v>
      </c>
      <c r="BR20" s="5" t="n">
        <v>12.91</v>
      </c>
      <c r="BS20" s="5" t="n">
        <v>4.410002</v>
      </c>
      <c r="BT20" s="5" t="n">
        <v>4.410002</v>
      </c>
      <c r="BU20" s="5" t="n">
        <v>0</v>
      </c>
      <c r="BV20" s="5" t="n">
        <v>0</v>
      </c>
      <c r="BW20" s="5" t="n">
        <v>4.41</v>
      </c>
      <c r="BX20" s="5" t="n">
        <v>0</v>
      </c>
      <c r="BY20" s="5" t="n">
        <v>0</v>
      </c>
      <c r="BZ20" s="5" t="n">
        <v>0</v>
      </c>
    </row>
    <row r="21" customFormat="false" ht="13.8" hidden="false" customHeight="false" outlineLevel="0" collapsed="false">
      <c r="A21" s="3" t="n">
        <v>45383.3125</v>
      </c>
      <c r="B21" s="5" t="n">
        <v>1.632</v>
      </c>
      <c r="C21" s="2" t="s">
        <v>46</v>
      </c>
      <c r="D21" s="5" t="n">
        <v>0.630328</v>
      </c>
      <c r="E21" s="2" t="s">
        <v>46</v>
      </c>
      <c r="F21" s="5" t="n">
        <v>0.630328</v>
      </c>
      <c r="G21" s="2" t="s">
        <v>46</v>
      </c>
      <c r="H21" s="5" t="n">
        <f aca="false">F21*0.8</f>
        <v>0.5042624</v>
      </c>
      <c r="L21" s="5" t="n">
        <v>1.124</v>
      </c>
      <c r="M21" s="2" t="s">
        <v>46</v>
      </c>
      <c r="N21" s="5" t="n">
        <v>0.434123</v>
      </c>
      <c r="O21" s="2" t="s">
        <v>46</v>
      </c>
      <c r="P21" s="5" t="n">
        <v>0.434123</v>
      </c>
      <c r="Q21" s="2" t="s">
        <v>46</v>
      </c>
      <c r="V21" s="5" t="n">
        <v>0.412</v>
      </c>
      <c r="W21" s="2" t="s">
        <v>46</v>
      </c>
      <c r="X21" s="5" t="n">
        <v>0.159127</v>
      </c>
      <c r="Y21" s="2" t="s">
        <v>46</v>
      </c>
      <c r="Z21" s="5" t="n">
        <v>0.159127</v>
      </c>
      <c r="AA21" s="2" t="s">
        <v>46</v>
      </c>
      <c r="AF21" s="5" t="n">
        <v>0.062</v>
      </c>
      <c r="AG21" s="2" t="s">
        <v>46</v>
      </c>
      <c r="AH21" s="5" t="n">
        <v>0.023946</v>
      </c>
      <c r="AI21" s="2" t="s">
        <v>46</v>
      </c>
      <c r="AJ21" s="5" t="n">
        <v>0.023946</v>
      </c>
      <c r="AK21" s="2" t="s">
        <v>46</v>
      </c>
      <c r="AP21" s="5" t="n">
        <v>5.175</v>
      </c>
      <c r="AQ21" s="2" t="s">
        <v>46</v>
      </c>
      <c r="AR21" s="5" t="n">
        <v>1.998744</v>
      </c>
      <c r="AS21" s="2" t="s">
        <v>46</v>
      </c>
      <c r="AT21" s="5" t="n">
        <v>1.998744</v>
      </c>
      <c r="AU21" s="2" t="s">
        <v>46</v>
      </c>
      <c r="AZ21" s="5" t="n">
        <v>6.12</v>
      </c>
      <c r="BA21" s="2" t="s">
        <v>46</v>
      </c>
      <c r="BB21" s="5" t="n">
        <v>2.363731</v>
      </c>
      <c r="BC21" s="2" t="s">
        <v>46</v>
      </c>
      <c r="BD21" s="5" t="n">
        <v>2.363731</v>
      </c>
      <c r="BE21" s="2" t="s">
        <v>46</v>
      </c>
      <c r="BJ21" s="5" t="n">
        <v>5.61</v>
      </c>
      <c r="BK21" s="2" t="s">
        <v>46</v>
      </c>
      <c r="BP21" s="5" t="n">
        <v>1E-006</v>
      </c>
      <c r="BQ21" s="2" t="s">
        <v>46</v>
      </c>
      <c r="BR21" s="5" t="n">
        <v>14.525</v>
      </c>
      <c r="BS21" s="5" t="n">
        <v>5.609999</v>
      </c>
      <c r="BT21" s="5" t="n">
        <v>5.609999</v>
      </c>
      <c r="BU21" s="5" t="n">
        <v>0</v>
      </c>
      <c r="BV21" s="5" t="n">
        <v>0</v>
      </c>
      <c r="BW21" s="5" t="n">
        <v>5.61</v>
      </c>
      <c r="BX21" s="5" t="n">
        <v>0</v>
      </c>
      <c r="BY21" s="5" t="n">
        <v>0</v>
      </c>
      <c r="BZ21" s="5" t="n">
        <v>1E-006</v>
      </c>
    </row>
    <row r="22" customFormat="false" ht="13.8" hidden="false" customHeight="false" outlineLevel="0" collapsed="false">
      <c r="A22" s="3" t="n">
        <v>45383.3229166667</v>
      </c>
      <c r="B22" s="5" t="n">
        <v>1.534</v>
      </c>
      <c r="C22" s="2" t="s">
        <v>46</v>
      </c>
      <c r="D22" s="5" t="n">
        <v>1.198511</v>
      </c>
      <c r="E22" s="2" t="s">
        <v>46</v>
      </c>
      <c r="F22" s="5" t="n">
        <v>1.198511</v>
      </c>
      <c r="G22" s="2" t="s">
        <v>46</v>
      </c>
      <c r="H22" s="5" t="n">
        <f aca="false">F22*0.8</f>
        <v>0.9588088</v>
      </c>
      <c r="L22" s="5" t="n">
        <v>1.281</v>
      </c>
      <c r="M22" s="2" t="s">
        <v>46</v>
      </c>
      <c r="N22" s="5" t="n">
        <v>1.000842</v>
      </c>
      <c r="O22" s="2" t="s">
        <v>46</v>
      </c>
      <c r="P22" s="5" t="n">
        <v>1.000842</v>
      </c>
      <c r="Q22" s="2" t="s">
        <v>46</v>
      </c>
      <c r="V22" s="5" t="n">
        <v>0.784</v>
      </c>
      <c r="W22" s="2" t="s">
        <v>46</v>
      </c>
      <c r="X22" s="5" t="n">
        <v>0.612537</v>
      </c>
      <c r="Y22" s="2" t="s">
        <v>46</v>
      </c>
      <c r="Z22" s="5" t="n">
        <v>0.612537</v>
      </c>
      <c r="AA22" s="2" t="s">
        <v>46</v>
      </c>
      <c r="AF22" s="5" t="n">
        <v>0.066</v>
      </c>
      <c r="AG22" s="2" t="s">
        <v>46</v>
      </c>
      <c r="AH22" s="5" t="n">
        <v>0.051566</v>
      </c>
      <c r="AI22" s="2" t="s">
        <v>46</v>
      </c>
      <c r="AJ22" s="5" t="n">
        <v>0.051566</v>
      </c>
      <c r="AK22" s="2" t="s">
        <v>46</v>
      </c>
      <c r="AP22" s="5" t="n">
        <v>4.2675</v>
      </c>
      <c r="AQ22" s="2" t="s">
        <v>46</v>
      </c>
      <c r="AR22" s="5" t="n">
        <v>3.334188</v>
      </c>
      <c r="AS22" s="2" t="s">
        <v>46</v>
      </c>
      <c r="AT22" s="5" t="n">
        <v>3.334188</v>
      </c>
      <c r="AU22" s="2" t="s">
        <v>46</v>
      </c>
      <c r="AZ22" s="5" t="n">
        <v>3.51</v>
      </c>
      <c r="BA22" s="2" t="s">
        <v>46</v>
      </c>
      <c r="BB22" s="5" t="n">
        <v>2.742355</v>
      </c>
      <c r="BC22" s="2" t="s">
        <v>46</v>
      </c>
      <c r="BD22" s="5" t="n">
        <v>2.742355</v>
      </c>
      <c r="BE22" s="2" t="s">
        <v>46</v>
      </c>
      <c r="BJ22" s="5" t="n">
        <v>8.94</v>
      </c>
      <c r="BK22" s="2" t="s">
        <v>46</v>
      </c>
      <c r="BP22" s="5" t="n">
        <v>0.1</v>
      </c>
      <c r="BQ22" s="2" t="s">
        <v>46</v>
      </c>
      <c r="BR22" s="5" t="n">
        <v>11.4425</v>
      </c>
      <c r="BS22" s="5" t="n">
        <v>8.939999</v>
      </c>
      <c r="BT22" s="5" t="n">
        <v>8.939999</v>
      </c>
      <c r="BU22" s="5" t="n">
        <v>0</v>
      </c>
      <c r="BV22" s="5" t="n">
        <v>0</v>
      </c>
      <c r="BW22" s="5" t="n">
        <v>8.94</v>
      </c>
      <c r="BX22" s="5" t="n">
        <v>0</v>
      </c>
      <c r="BY22" s="5" t="n">
        <v>0</v>
      </c>
      <c r="BZ22" s="5" t="n">
        <v>1E-006</v>
      </c>
    </row>
    <row r="23" customFormat="false" ht="13.8" hidden="false" customHeight="false" outlineLevel="0" collapsed="false">
      <c r="A23" s="3" t="n">
        <v>45383.3333333333</v>
      </c>
      <c r="B23" s="5" t="n">
        <v>1.38</v>
      </c>
      <c r="C23" s="2" t="s">
        <v>46</v>
      </c>
      <c r="D23" s="5" t="n">
        <v>1.234198</v>
      </c>
      <c r="E23" s="2" t="s">
        <v>46</v>
      </c>
      <c r="F23" s="5" t="n">
        <v>1.234198</v>
      </c>
      <c r="G23" s="2" t="s">
        <v>46</v>
      </c>
      <c r="H23" s="5" t="n">
        <f aca="false">F23*0.8</f>
        <v>0.9873584</v>
      </c>
      <c r="L23" s="5" t="n">
        <v>1.166</v>
      </c>
      <c r="M23" s="2" t="s">
        <v>46</v>
      </c>
      <c r="N23" s="5" t="n">
        <v>1.042808</v>
      </c>
      <c r="O23" s="2" t="s">
        <v>46</v>
      </c>
      <c r="P23" s="5" t="n">
        <v>1.042808</v>
      </c>
      <c r="Q23" s="2" t="s">
        <v>46</v>
      </c>
      <c r="V23" s="5" t="n">
        <v>0.632</v>
      </c>
      <c r="W23" s="2" t="s">
        <v>46</v>
      </c>
      <c r="X23" s="5" t="n">
        <v>0.565227</v>
      </c>
      <c r="Y23" s="2" t="s">
        <v>46</v>
      </c>
      <c r="Z23" s="5" t="n">
        <v>0.565227</v>
      </c>
      <c r="AA23" s="2" t="s">
        <v>46</v>
      </c>
      <c r="AF23" s="5" t="n">
        <v>0.073</v>
      </c>
      <c r="AG23" s="2" t="s">
        <v>46</v>
      </c>
      <c r="AH23" s="5" t="n">
        <v>0.065287</v>
      </c>
      <c r="AI23" s="2" t="s">
        <v>46</v>
      </c>
      <c r="AJ23" s="5" t="n">
        <v>0.065287</v>
      </c>
      <c r="AK23" s="2" t="s">
        <v>46</v>
      </c>
      <c r="AP23" s="5" t="n">
        <v>5.6775</v>
      </c>
      <c r="AQ23" s="2" t="s">
        <v>46</v>
      </c>
      <c r="AR23" s="5" t="n">
        <v>5.077652</v>
      </c>
      <c r="AS23" s="2" t="s">
        <v>46</v>
      </c>
      <c r="AT23" s="5" t="n">
        <v>5.077652</v>
      </c>
      <c r="AU23" s="2" t="s">
        <v>46</v>
      </c>
      <c r="AZ23" s="5" t="n">
        <v>5.16</v>
      </c>
      <c r="BA23" s="2" t="s">
        <v>46</v>
      </c>
      <c r="BB23" s="5" t="n">
        <v>4.614828</v>
      </c>
      <c r="BC23" s="2" t="s">
        <v>46</v>
      </c>
      <c r="BD23" s="5" t="n">
        <v>4.614828</v>
      </c>
      <c r="BE23" s="2" t="s">
        <v>46</v>
      </c>
      <c r="BJ23" s="5" t="n">
        <v>12.6</v>
      </c>
      <c r="BK23" s="2" t="s">
        <v>46</v>
      </c>
      <c r="BP23" s="5" t="n">
        <v>0</v>
      </c>
      <c r="BQ23" s="2" t="s">
        <v>46</v>
      </c>
      <c r="BR23" s="5" t="n">
        <v>14.0885</v>
      </c>
      <c r="BS23" s="5" t="n">
        <v>12.6</v>
      </c>
      <c r="BT23" s="5" t="n">
        <v>12.6</v>
      </c>
      <c r="BU23" s="5" t="n">
        <v>0</v>
      </c>
      <c r="BV23" s="5" t="n">
        <v>0</v>
      </c>
      <c r="BW23" s="5" t="n">
        <v>12.6</v>
      </c>
      <c r="BX23" s="5" t="n">
        <v>0</v>
      </c>
      <c r="BY23" s="5" t="n">
        <v>0</v>
      </c>
      <c r="BZ23" s="5" t="n">
        <v>0</v>
      </c>
    </row>
    <row r="24" customFormat="false" ht="13.8" hidden="false" customHeight="false" outlineLevel="0" collapsed="false">
      <c r="A24" s="3" t="n">
        <v>45383.34375</v>
      </c>
      <c r="B24" s="5" t="n">
        <v>1.565</v>
      </c>
      <c r="C24" s="2" t="s">
        <v>46</v>
      </c>
      <c r="D24" s="5" t="n">
        <v>1.216186</v>
      </c>
      <c r="E24" s="2" t="s">
        <v>46</v>
      </c>
      <c r="F24" s="5" t="n">
        <v>1.216186</v>
      </c>
      <c r="G24" s="2" t="s">
        <v>46</v>
      </c>
      <c r="H24" s="5" t="n">
        <f aca="false">F24*0.8</f>
        <v>0.9729488</v>
      </c>
      <c r="L24" s="5" t="n">
        <v>1.148</v>
      </c>
      <c r="M24" s="2" t="s">
        <v>46</v>
      </c>
      <c r="N24" s="5" t="n">
        <v>0.892129</v>
      </c>
      <c r="O24" s="2" t="s">
        <v>46</v>
      </c>
      <c r="P24" s="5" t="n">
        <v>0.892129</v>
      </c>
      <c r="Q24" s="2" t="s">
        <v>46</v>
      </c>
      <c r="V24" s="5" t="n">
        <v>0.786</v>
      </c>
      <c r="W24" s="2" t="s">
        <v>46</v>
      </c>
      <c r="X24" s="5" t="n">
        <v>0.610813</v>
      </c>
      <c r="Y24" s="2" t="s">
        <v>46</v>
      </c>
      <c r="Z24" s="5" t="n">
        <v>0.610813</v>
      </c>
      <c r="AA24" s="2" t="s">
        <v>46</v>
      </c>
      <c r="AF24" s="5" t="n">
        <v>0.041</v>
      </c>
      <c r="AG24" s="2" t="s">
        <v>46</v>
      </c>
      <c r="AH24" s="5" t="n">
        <v>0.031862</v>
      </c>
      <c r="AI24" s="2" t="s">
        <v>46</v>
      </c>
      <c r="AJ24" s="5" t="n">
        <v>0.031862</v>
      </c>
      <c r="AK24" s="2" t="s">
        <v>46</v>
      </c>
      <c r="AP24" s="5" t="n">
        <v>10.1475</v>
      </c>
      <c r="AQ24" s="2" t="s">
        <v>46</v>
      </c>
      <c r="AR24" s="5" t="n">
        <v>7.885781</v>
      </c>
      <c r="AS24" s="2" t="s">
        <v>46</v>
      </c>
      <c r="AT24" s="5" t="n">
        <v>7.885781</v>
      </c>
      <c r="AU24" s="2" t="s">
        <v>46</v>
      </c>
      <c r="AZ24" s="5" t="n">
        <v>5.19</v>
      </c>
      <c r="BA24" s="2" t="s">
        <v>46</v>
      </c>
      <c r="BB24" s="5" t="n">
        <v>4.03323</v>
      </c>
      <c r="BC24" s="2" t="s">
        <v>46</v>
      </c>
      <c r="BD24" s="5" t="n">
        <v>4.03323</v>
      </c>
      <c r="BE24" s="2" t="s">
        <v>46</v>
      </c>
      <c r="BJ24" s="5" t="n">
        <v>14.67</v>
      </c>
      <c r="BK24" s="2" t="s">
        <v>46</v>
      </c>
      <c r="BP24" s="5" t="n">
        <v>0</v>
      </c>
      <c r="BQ24" s="2" t="s">
        <v>46</v>
      </c>
      <c r="BR24" s="5" t="n">
        <v>18.8775</v>
      </c>
      <c r="BS24" s="5" t="n">
        <v>14.670001</v>
      </c>
      <c r="BT24" s="5" t="n">
        <v>14.670001</v>
      </c>
      <c r="BU24" s="5" t="n">
        <v>0</v>
      </c>
      <c r="BV24" s="5" t="n">
        <v>0</v>
      </c>
      <c r="BW24" s="5" t="n">
        <v>14.67</v>
      </c>
      <c r="BX24" s="5" t="n">
        <v>0</v>
      </c>
      <c r="BY24" s="5" t="n">
        <v>0</v>
      </c>
      <c r="BZ24" s="5" t="n">
        <v>0</v>
      </c>
    </row>
    <row r="25" customFormat="false" ht="13.8" hidden="false" customHeight="false" outlineLevel="0" collapsed="false">
      <c r="A25" s="3" t="n">
        <v>45383.3541666667</v>
      </c>
      <c r="B25" s="5" t="n">
        <v>1.545</v>
      </c>
      <c r="C25" s="2" t="s">
        <v>46</v>
      </c>
      <c r="D25" s="5" t="n">
        <v>1.384754</v>
      </c>
      <c r="E25" s="2" t="s">
        <v>46</v>
      </c>
      <c r="F25" s="5" t="n">
        <v>1.384754</v>
      </c>
      <c r="G25" s="2" t="s">
        <v>46</v>
      </c>
      <c r="H25" s="5" t="n">
        <f aca="false">F25*0.8</f>
        <v>1.1078032</v>
      </c>
      <c r="L25" s="5" t="n">
        <v>1.214</v>
      </c>
      <c r="M25" s="2" t="s">
        <v>46</v>
      </c>
      <c r="N25" s="5" t="n">
        <v>1.088085</v>
      </c>
      <c r="O25" s="2" t="s">
        <v>46</v>
      </c>
      <c r="P25" s="5" t="n">
        <v>1.088085</v>
      </c>
      <c r="Q25" s="2" t="s">
        <v>46</v>
      </c>
      <c r="V25" s="5" t="n">
        <v>0.359</v>
      </c>
      <c r="W25" s="2" t="s">
        <v>46</v>
      </c>
      <c r="X25" s="5" t="n">
        <v>0.321765</v>
      </c>
      <c r="Y25" s="2" t="s">
        <v>46</v>
      </c>
      <c r="Z25" s="5" t="n">
        <v>0.321765</v>
      </c>
      <c r="AA25" s="2" t="s">
        <v>46</v>
      </c>
      <c r="AF25" s="5" t="n">
        <v>0.095</v>
      </c>
      <c r="AG25" s="2" t="s">
        <v>46</v>
      </c>
      <c r="AH25" s="5" t="n">
        <v>0.085147</v>
      </c>
      <c r="AI25" s="2" t="s">
        <v>46</v>
      </c>
      <c r="AJ25" s="5" t="n">
        <v>0.085147</v>
      </c>
      <c r="AK25" s="2" t="s">
        <v>46</v>
      </c>
      <c r="AP25" s="5" t="n">
        <v>9.7875</v>
      </c>
      <c r="AQ25" s="2" t="s">
        <v>46</v>
      </c>
      <c r="AR25" s="5" t="n">
        <v>8.772349</v>
      </c>
      <c r="AS25" s="2" t="s">
        <v>46</v>
      </c>
      <c r="AT25" s="5" t="n">
        <v>8.772349</v>
      </c>
      <c r="AU25" s="2" t="s">
        <v>46</v>
      </c>
      <c r="AZ25" s="5" t="n">
        <v>6.48</v>
      </c>
      <c r="BA25" s="2" t="s">
        <v>46</v>
      </c>
      <c r="BB25" s="5" t="n">
        <v>5.8079</v>
      </c>
      <c r="BC25" s="2" t="s">
        <v>46</v>
      </c>
      <c r="BD25" s="5" t="n">
        <v>5.8079</v>
      </c>
      <c r="BE25" s="2" t="s">
        <v>46</v>
      </c>
      <c r="BJ25" s="5" t="n">
        <v>17.46</v>
      </c>
      <c r="BK25" s="2" t="s">
        <v>46</v>
      </c>
      <c r="BP25" s="5" t="n">
        <v>0</v>
      </c>
      <c r="BQ25" s="2" t="s">
        <v>46</v>
      </c>
      <c r="BR25" s="5" t="n">
        <v>19.4805</v>
      </c>
      <c r="BS25" s="5" t="n">
        <v>17.46</v>
      </c>
      <c r="BT25" s="5" t="n">
        <v>17.46</v>
      </c>
      <c r="BU25" s="5" t="n">
        <v>0</v>
      </c>
      <c r="BV25" s="5" t="n">
        <v>0</v>
      </c>
      <c r="BW25" s="5" t="n">
        <v>17.46</v>
      </c>
      <c r="BX25" s="5" t="n">
        <v>0</v>
      </c>
      <c r="BY25" s="5" t="n">
        <v>0</v>
      </c>
      <c r="BZ25" s="5" t="n">
        <v>0</v>
      </c>
    </row>
    <row r="26" customFormat="false" ht="13.8" hidden="false" customHeight="false" outlineLevel="0" collapsed="false">
      <c r="A26" s="3" t="n">
        <v>45383.3645833333</v>
      </c>
      <c r="B26" s="5" t="n">
        <v>1.678</v>
      </c>
      <c r="C26" s="2" t="s">
        <v>46</v>
      </c>
      <c r="D26" s="5" t="n">
        <v>1.430015</v>
      </c>
      <c r="E26" s="2" t="s">
        <v>46</v>
      </c>
      <c r="F26" s="5" t="n">
        <v>1.430015</v>
      </c>
      <c r="G26" s="2" t="s">
        <v>46</v>
      </c>
      <c r="H26" s="5" t="n">
        <f aca="false">F26*0.8</f>
        <v>1.144012</v>
      </c>
      <c r="L26" s="5" t="n">
        <v>1.116</v>
      </c>
      <c r="M26" s="2" t="s">
        <v>46</v>
      </c>
      <c r="N26" s="5" t="n">
        <v>0.951071</v>
      </c>
      <c r="O26" s="2" t="s">
        <v>46</v>
      </c>
      <c r="P26" s="5" t="n">
        <v>0.951071</v>
      </c>
      <c r="Q26" s="2" t="s">
        <v>46</v>
      </c>
      <c r="V26" s="5" t="n">
        <v>0.703</v>
      </c>
      <c r="W26" s="2" t="s">
        <v>46</v>
      </c>
      <c r="X26" s="5" t="n">
        <v>0.599106</v>
      </c>
      <c r="Y26" s="2" t="s">
        <v>46</v>
      </c>
      <c r="Z26" s="5" t="n">
        <v>0.599106</v>
      </c>
      <c r="AA26" s="2" t="s">
        <v>46</v>
      </c>
      <c r="AF26" s="5" t="n">
        <v>0.042</v>
      </c>
      <c r="AG26" s="2" t="s">
        <v>46</v>
      </c>
      <c r="AH26" s="5" t="n">
        <v>0.035793</v>
      </c>
      <c r="AI26" s="2" t="s">
        <v>46</v>
      </c>
      <c r="AJ26" s="5" t="n">
        <v>0.035793</v>
      </c>
      <c r="AK26" s="2" t="s">
        <v>46</v>
      </c>
      <c r="AP26" s="5" t="n">
        <v>12.4875</v>
      </c>
      <c r="AQ26" s="2" t="s">
        <v>46</v>
      </c>
      <c r="AR26" s="5" t="n">
        <v>10.64202</v>
      </c>
      <c r="AS26" s="2" t="s">
        <v>46</v>
      </c>
      <c r="AT26" s="5" t="n">
        <v>10.64202</v>
      </c>
      <c r="AU26" s="2" t="s">
        <v>46</v>
      </c>
      <c r="AZ26" s="5" t="n">
        <v>8.58</v>
      </c>
      <c r="BA26" s="2" t="s">
        <v>46</v>
      </c>
      <c r="BB26" s="5" t="n">
        <v>7.311995</v>
      </c>
      <c r="BC26" s="2" t="s">
        <v>46</v>
      </c>
      <c r="BD26" s="5" t="n">
        <v>7.311995</v>
      </c>
      <c r="BE26" s="2" t="s">
        <v>46</v>
      </c>
      <c r="BJ26" s="5" t="n">
        <v>20.97</v>
      </c>
      <c r="BK26" s="2" t="s">
        <v>46</v>
      </c>
      <c r="BP26" s="5" t="n">
        <v>0</v>
      </c>
      <c r="BQ26" s="2" t="s">
        <v>46</v>
      </c>
      <c r="BR26" s="5" t="n">
        <v>24.6065</v>
      </c>
      <c r="BS26" s="5" t="n">
        <v>20.97</v>
      </c>
      <c r="BT26" s="5" t="n">
        <v>20.97</v>
      </c>
      <c r="BU26" s="5" t="n">
        <v>0</v>
      </c>
      <c r="BV26" s="5" t="n">
        <v>0</v>
      </c>
      <c r="BW26" s="5" t="n">
        <v>20.97</v>
      </c>
      <c r="BX26" s="5" t="n">
        <v>0</v>
      </c>
      <c r="BY26" s="5" t="n">
        <v>0</v>
      </c>
      <c r="BZ26" s="5" t="n">
        <v>0</v>
      </c>
    </row>
    <row r="27" customFormat="false" ht="13.8" hidden="false" customHeight="false" outlineLevel="0" collapsed="false">
      <c r="A27" s="3" t="n">
        <v>45383.375</v>
      </c>
      <c r="B27" s="5" t="n">
        <v>1.712</v>
      </c>
      <c r="C27" s="2" t="s">
        <v>46</v>
      </c>
      <c r="D27" s="5" t="n">
        <v>2.069223</v>
      </c>
      <c r="E27" s="2" t="s">
        <v>46</v>
      </c>
      <c r="F27" s="5" t="n">
        <v>1.712</v>
      </c>
      <c r="G27" s="2" t="s">
        <v>46</v>
      </c>
      <c r="H27" s="5" t="n">
        <f aca="false">F27*0.8</f>
        <v>1.3696</v>
      </c>
      <c r="L27" s="5" t="n">
        <v>0.977</v>
      </c>
      <c r="M27" s="2" t="s">
        <v>46</v>
      </c>
      <c r="N27" s="5" t="n">
        <v>1.180859</v>
      </c>
      <c r="O27" s="2" t="s">
        <v>46</v>
      </c>
      <c r="P27" s="5" t="n">
        <v>0.977</v>
      </c>
      <c r="Q27" s="2" t="s">
        <v>46</v>
      </c>
      <c r="V27" s="5" t="n">
        <v>0.833</v>
      </c>
      <c r="W27" s="2" t="s">
        <v>46</v>
      </c>
      <c r="X27" s="5" t="n">
        <v>1.006812</v>
      </c>
      <c r="Y27" s="2" t="s">
        <v>46</v>
      </c>
      <c r="Z27" s="5" t="n">
        <v>0.833</v>
      </c>
      <c r="AA27" s="2" t="s">
        <v>46</v>
      </c>
      <c r="AF27" s="5" t="n">
        <v>0.074</v>
      </c>
      <c r="AG27" s="2" t="s">
        <v>46</v>
      </c>
      <c r="AH27" s="5" t="n">
        <v>0.089441</v>
      </c>
      <c r="AI27" s="2" t="s">
        <v>46</v>
      </c>
      <c r="AJ27" s="5" t="n">
        <v>0.074</v>
      </c>
      <c r="AK27" s="2" t="s">
        <v>46</v>
      </c>
      <c r="AP27" s="5" t="n">
        <v>9.255</v>
      </c>
      <c r="AQ27" s="2" t="s">
        <v>46</v>
      </c>
      <c r="AR27" s="5" t="n">
        <v>11.186131</v>
      </c>
      <c r="AS27" s="2" t="s">
        <v>46</v>
      </c>
      <c r="AT27" s="5" t="n">
        <v>9.255</v>
      </c>
      <c r="AU27" s="2" t="s">
        <v>46</v>
      </c>
      <c r="AZ27" s="5" t="n">
        <v>7.8</v>
      </c>
      <c r="BA27" s="2" t="s">
        <v>46</v>
      </c>
      <c r="BB27" s="5" t="n">
        <v>9.427534</v>
      </c>
      <c r="BC27" s="2" t="s">
        <v>46</v>
      </c>
      <c r="BD27" s="5" t="n">
        <v>7.8</v>
      </c>
      <c r="BE27" s="2" t="s">
        <v>46</v>
      </c>
      <c r="BJ27" s="5" t="n">
        <v>24.96</v>
      </c>
      <c r="BK27" s="2" t="s">
        <v>46</v>
      </c>
      <c r="BP27" s="5" t="n">
        <v>4.309</v>
      </c>
      <c r="BQ27" s="2" t="s">
        <v>46</v>
      </c>
      <c r="BR27" s="5" t="n">
        <v>20.651</v>
      </c>
      <c r="BS27" s="5" t="n">
        <v>24.96</v>
      </c>
      <c r="BT27" s="5" t="n">
        <v>20.651</v>
      </c>
      <c r="BU27" s="5" t="n">
        <v>0</v>
      </c>
      <c r="BV27" s="5" t="n">
        <v>0</v>
      </c>
      <c r="BW27" s="5" t="n">
        <v>24.96</v>
      </c>
      <c r="BX27" s="5" t="n">
        <v>0</v>
      </c>
      <c r="BY27" s="5" t="n">
        <v>0</v>
      </c>
      <c r="BZ27" s="5" t="n">
        <v>4.309</v>
      </c>
    </row>
    <row r="33" customFormat="false" ht="13.8" hidden="false" customHeight="false" outlineLevel="0" collapsed="false">
      <c r="H33" s="0" t="n">
        <f aca="false">F17+H17</f>
        <v>0.0361926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Z33"/>
  <sheetViews>
    <sheetView showFormulas="false" showGridLines="true" showRowColHeaders="true" showZeros="true" rightToLeft="false" tabSelected="true" showOutlineSymbols="true" defaultGridColor="true" view="normal" topLeftCell="BJ1" colorId="64" zoomScale="91" zoomScaleNormal="91" zoomScalePageLayoutView="100" workbookViewId="0">
      <selection pane="topLeft" activeCell="BN32" activeCellId="0" sqref="BN32"/>
    </sheetView>
  </sheetViews>
  <sheetFormatPr defaultColWidth="40.54296875" defaultRowHeight="13.8" zeroHeight="false" outlineLevelRow="0" outlineLevelCol="0"/>
  <cols>
    <col collapsed="false" customWidth="true" hidden="false" outlineLevel="0" max="3" min="3" style="0" width="3.91"/>
    <col collapsed="false" customWidth="true" hidden="false" outlineLevel="0" max="5" min="5" style="0" width="3.91"/>
    <col collapsed="false" customWidth="true" hidden="false" outlineLevel="0" max="7" min="7" style="0" width="3.91"/>
    <col collapsed="false" customWidth="true" hidden="false" outlineLevel="0" max="9" min="9" style="0" width="3.91"/>
    <col collapsed="false" customWidth="true" hidden="false" outlineLevel="0" max="11" min="11" style="0" width="3.91"/>
    <col collapsed="false" customWidth="true" hidden="false" outlineLevel="0" max="13" min="13" style="0" width="3.91"/>
    <col collapsed="false" customWidth="true" hidden="false" outlineLevel="0" max="15" min="15" style="0" width="3.91"/>
    <col collapsed="false" customWidth="true" hidden="false" outlineLevel="0" max="17" min="17" style="0" width="3.91"/>
    <col collapsed="false" customWidth="true" hidden="false" outlineLevel="0" max="19" min="19" style="0" width="3.91"/>
    <col collapsed="false" customWidth="true" hidden="false" outlineLevel="0" max="21" min="21" style="0" width="3.91"/>
    <col collapsed="false" customWidth="true" hidden="false" outlineLevel="0" max="23" min="23" style="0" width="3.91"/>
    <col collapsed="false" customWidth="true" hidden="false" outlineLevel="0" max="25" min="25" style="0" width="3.91"/>
    <col collapsed="false" customWidth="true" hidden="false" outlineLevel="0" max="27" min="27" style="0" width="3.91"/>
    <col collapsed="false" customWidth="true" hidden="false" outlineLevel="0" max="29" min="29" style="0" width="3.91"/>
    <col collapsed="false" customWidth="true" hidden="false" outlineLevel="0" max="31" min="31" style="0" width="3.91"/>
    <col collapsed="false" customWidth="true" hidden="false" outlineLevel="0" max="33" min="33" style="0" width="3.91"/>
    <col collapsed="false" customWidth="true" hidden="false" outlineLevel="0" max="35" min="35" style="0" width="3.91"/>
    <col collapsed="false" customWidth="true" hidden="false" outlineLevel="0" max="37" min="37" style="0" width="3.91"/>
    <col collapsed="false" customWidth="true" hidden="false" outlineLevel="0" max="39" min="39" style="0" width="3.91"/>
    <col collapsed="false" customWidth="true" hidden="false" outlineLevel="0" max="41" min="41" style="0" width="3.91"/>
    <col collapsed="false" customWidth="true" hidden="false" outlineLevel="0" max="43" min="43" style="0" width="3.91"/>
    <col collapsed="false" customWidth="true" hidden="false" outlineLevel="0" max="45" min="45" style="0" width="3.91"/>
    <col collapsed="false" customWidth="true" hidden="false" outlineLevel="0" max="47" min="47" style="0" width="3.91"/>
    <col collapsed="false" customWidth="true" hidden="false" outlineLevel="0" max="49" min="49" style="0" width="3.91"/>
    <col collapsed="false" customWidth="true" hidden="false" outlineLevel="0" max="51" min="51" style="0" width="3.91"/>
    <col collapsed="false" customWidth="true" hidden="false" outlineLevel="0" max="53" min="53" style="0" width="3.91"/>
    <col collapsed="false" customWidth="true" hidden="false" outlineLevel="0" max="55" min="55" style="0" width="3.91"/>
    <col collapsed="false" customWidth="true" hidden="false" outlineLevel="0" max="57" min="57" style="0" width="3.91"/>
    <col collapsed="false" customWidth="true" hidden="false" outlineLevel="0" max="59" min="59" style="0" width="3.91"/>
    <col collapsed="false" customWidth="true" hidden="false" outlineLevel="0" max="61" min="61" style="0" width="3.91"/>
    <col collapsed="false" customWidth="true" hidden="false" outlineLevel="0" max="63" min="63" style="0" width="3.91"/>
    <col collapsed="false" customWidth="true" hidden="false" outlineLevel="0" max="65" min="65" style="0" width="3.91"/>
    <col collapsed="false" customWidth="true" hidden="false" outlineLevel="0" max="67" min="67" style="0" width="3.91"/>
    <col collapsed="false" customWidth="true" hidden="false" outlineLevel="0" max="69" min="69" style="0" width="3.91"/>
  </cols>
  <sheetData>
    <row r="1" customFormat="false" ht="13.8" hidden="false" customHeight="false" outlineLevel="0" collapsed="false">
      <c r="A1" s="0" t="s">
        <v>0</v>
      </c>
    </row>
    <row r="2" customFormat="false" ht="13.8" hidden="false" customHeight="false" outlineLevel="0" collapsed="false">
      <c r="A2" s="1" t="s">
        <v>1</v>
      </c>
      <c r="B2" s="2" t="s">
        <v>2</v>
      </c>
      <c r="C2" s="2" t="s">
        <v>3</v>
      </c>
      <c r="D2" s="2" t="s">
        <v>2</v>
      </c>
      <c r="E2" s="2" t="s">
        <v>3</v>
      </c>
      <c r="F2" s="2" t="s">
        <v>2</v>
      </c>
      <c r="G2" s="2" t="s">
        <v>3</v>
      </c>
      <c r="H2" s="2" t="s">
        <v>2</v>
      </c>
      <c r="I2" s="2" t="s">
        <v>3</v>
      </c>
      <c r="J2" s="2" t="s">
        <v>2</v>
      </c>
      <c r="K2" s="2" t="s">
        <v>3</v>
      </c>
      <c r="L2" s="2" t="s">
        <v>4</v>
      </c>
      <c r="M2" s="2" t="s">
        <v>3</v>
      </c>
      <c r="N2" s="2" t="s">
        <v>4</v>
      </c>
      <c r="O2" s="2" t="s">
        <v>3</v>
      </c>
      <c r="P2" s="2" t="s">
        <v>4</v>
      </c>
      <c r="Q2" s="2" t="s">
        <v>3</v>
      </c>
      <c r="R2" s="2" t="s">
        <v>4</v>
      </c>
      <c r="S2" s="2" t="s">
        <v>3</v>
      </c>
      <c r="T2" s="2" t="s">
        <v>4</v>
      </c>
      <c r="U2" s="2" t="s">
        <v>3</v>
      </c>
      <c r="V2" s="2" t="s">
        <v>5</v>
      </c>
      <c r="W2" s="2" t="s">
        <v>3</v>
      </c>
      <c r="X2" s="2" t="s">
        <v>5</v>
      </c>
      <c r="Y2" s="2" t="s">
        <v>3</v>
      </c>
      <c r="Z2" s="2" t="s">
        <v>5</v>
      </c>
      <c r="AA2" s="2" t="s">
        <v>3</v>
      </c>
      <c r="AB2" s="2" t="s">
        <v>5</v>
      </c>
      <c r="AC2" s="2" t="s">
        <v>3</v>
      </c>
      <c r="AD2" s="2" t="s">
        <v>5</v>
      </c>
      <c r="AE2" s="2" t="s">
        <v>3</v>
      </c>
      <c r="AF2" s="2" t="s">
        <v>6</v>
      </c>
      <c r="AG2" s="2" t="s">
        <v>3</v>
      </c>
      <c r="AH2" s="2" t="s">
        <v>6</v>
      </c>
      <c r="AI2" s="2" t="s">
        <v>3</v>
      </c>
      <c r="AJ2" s="2" t="s">
        <v>6</v>
      </c>
      <c r="AK2" s="2" t="s">
        <v>3</v>
      </c>
      <c r="AL2" s="2" t="s">
        <v>6</v>
      </c>
      <c r="AM2" s="2" t="s">
        <v>3</v>
      </c>
      <c r="AN2" s="2" t="s">
        <v>6</v>
      </c>
      <c r="AO2" s="2" t="s">
        <v>3</v>
      </c>
      <c r="AP2" s="2" t="s">
        <v>7</v>
      </c>
      <c r="AQ2" s="2" t="s">
        <v>3</v>
      </c>
      <c r="AR2" s="2" t="s">
        <v>7</v>
      </c>
      <c r="AS2" s="2" t="s">
        <v>3</v>
      </c>
      <c r="AT2" s="2" t="s">
        <v>7</v>
      </c>
      <c r="AU2" s="2" t="s">
        <v>3</v>
      </c>
      <c r="AV2" s="2" t="s">
        <v>7</v>
      </c>
      <c r="AW2" s="2" t="s">
        <v>3</v>
      </c>
      <c r="AX2" s="2" t="s">
        <v>7</v>
      </c>
      <c r="AY2" s="2" t="s">
        <v>3</v>
      </c>
      <c r="AZ2" s="2" t="s">
        <v>8</v>
      </c>
      <c r="BA2" s="2" t="s">
        <v>3</v>
      </c>
      <c r="BB2" s="2" t="s">
        <v>8</v>
      </c>
      <c r="BC2" s="2" t="s">
        <v>3</v>
      </c>
      <c r="BD2" s="2" t="s">
        <v>8</v>
      </c>
      <c r="BE2" s="2" t="s">
        <v>3</v>
      </c>
      <c r="BF2" s="2" t="s">
        <v>8</v>
      </c>
      <c r="BG2" s="2" t="s">
        <v>3</v>
      </c>
      <c r="BH2" s="2" t="s">
        <v>8</v>
      </c>
      <c r="BI2" s="2" t="s">
        <v>3</v>
      </c>
      <c r="BJ2" s="2" t="s">
        <v>9</v>
      </c>
      <c r="BK2" s="2" t="s">
        <v>3</v>
      </c>
      <c r="BL2" s="2" t="s">
        <v>9</v>
      </c>
      <c r="BM2" s="2" t="s">
        <v>3</v>
      </c>
      <c r="BN2" s="2" t="s">
        <v>9</v>
      </c>
      <c r="BO2" s="2" t="s">
        <v>3</v>
      </c>
      <c r="BP2" s="2" t="s">
        <v>9</v>
      </c>
      <c r="BQ2" s="2" t="s">
        <v>3</v>
      </c>
      <c r="BR2" s="2" t="s">
        <v>10</v>
      </c>
      <c r="BS2" s="2" t="s">
        <v>10</v>
      </c>
      <c r="BT2" s="2" t="s">
        <v>10</v>
      </c>
      <c r="BU2" s="2" t="s">
        <v>10</v>
      </c>
      <c r="BV2" s="2" t="s">
        <v>10</v>
      </c>
      <c r="BW2" s="2" t="s">
        <v>10</v>
      </c>
      <c r="BX2" s="2" t="s">
        <v>10</v>
      </c>
      <c r="BY2" s="2" t="s">
        <v>10</v>
      </c>
      <c r="BZ2" s="2" t="s">
        <v>10</v>
      </c>
    </row>
    <row r="3" customFormat="false" ht="13.8" hidden="false" customHeight="false" outlineLevel="0" collapsed="false">
      <c r="A3" s="1" t="s">
        <v>11</v>
      </c>
      <c r="B3" s="2" t="s">
        <v>12</v>
      </c>
      <c r="D3" s="2" t="s">
        <v>12</v>
      </c>
      <c r="F3" s="2" t="s">
        <v>12</v>
      </c>
      <c r="H3" s="2" t="s">
        <v>12</v>
      </c>
      <c r="J3" s="2" t="s">
        <v>12</v>
      </c>
      <c r="L3" s="2" t="s">
        <v>13</v>
      </c>
      <c r="N3" s="2" t="s">
        <v>13</v>
      </c>
      <c r="P3" s="2" t="s">
        <v>13</v>
      </c>
      <c r="R3" s="2" t="s">
        <v>13</v>
      </c>
      <c r="T3" s="2" t="s">
        <v>13</v>
      </c>
      <c r="V3" s="2" t="s">
        <v>14</v>
      </c>
      <c r="X3" s="2" t="s">
        <v>14</v>
      </c>
      <c r="Z3" s="2" t="s">
        <v>14</v>
      </c>
      <c r="AB3" s="2" t="s">
        <v>14</v>
      </c>
      <c r="AD3" s="2" t="s">
        <v>14</v>
      </c>
      <c r="AF3" s="2" t="s">
        <v>12</v>
      </c>
      <c r="AH3" s="2" t="s">
        <v>12</v>
      </c>
      <c r="AJ3" s="2" t="s">
        <v>12</v>
      </c>
      <c r="AL3" s="2" t="s">
        <v>12</v>
      </c>
      <c r="AN3" s="2" t="s">
        <v>12</v>
      </c>
      <c r="AP3" s="2" t="s">
        <v>15</v>
      </c>
      <c r="AR3" s="2" t="s">
        <v>15</v>
      </c>
      <c r="AT3" s="2" t="s">
        <v>15</v>
      </c>
      <c r="AV3" s="2" t="s">
        <v>15</v>
      </c>
      <c r="AX3" s="2" t="s">
        <v>15</v>
      </c>
      <c r="AZ3" s="2" t="s">
        <v>16</v>
      </c>
      <c r="BB3" s="2" t="s">
        <v>16</v>
      </c>
      <c r="BD3" s="2" t="s">
        <v>16</v>
      </c>
      <c r="BF3" s="2" t="s">
        <v>16</v>
      </c>
      <c r="BH3" s="2" t="s">
        <v>16</v>
      </c>
      <c r="BJ3" s="2" t="s">
        <v>17</v>
      </c>
      <c r="BL3" s="2" t="s">
        <v>17</v>
      </c>
      <c r="BN3" s="2" t="s">
        <v>17</v>
      </c>
      <c r="BP3" s="2" t="s">
        <v>17</v>
      </c>
    </row>
    <row r="4" customFormat="false" ht="13.8" hidden="false" customHeight="false" outlineLevel="0" collapsed="false">
      <c r="A4" s="1" t="s">
        <v>18</v>
      </c>
      <c r="B4" s="2" t="s">
        <v>19</v>
      </c>
      <c r="D4" s="2" t="s">
        <v>19</v>
      </c>
      <c r="F4" s="2" t="s">
        <v>19</v>
      </c>
      <c r="H4" s="2" t="s">
        <v>19</v>
      </c>
      <c r="J4" s="2" t="s">
        <v>19</v>
      </c>
      <c r="L4" s="2" t="s">
        <v>19</v>
      </c>
      <c r="N4" s="2" t="s">
        <v>19</v>
      </c>
      <c r="P4" s="2" t="s">
        <v>19</v>
      </c>
      <c r="R4" s="2" t="s">
        <v>19</v>
      </c>
      <c r="T4" s="2" t="s">
        <v>19</v>
      </c>
      <c r="V4" s="2" t="s">
        <v>19</v>
      </c>
      <c r="X4" s="2" t="s">
        <v>19</v>
      </c>
      <c r="Z4" s="2" t="s">
        <v>19</v>
      </c>
      <c r="AB4" s="2" t="s">
        <v>19</v>
      </c>
      <c r="AD4" s="2" t="s">
        <v>19</v>
      </c>
      <c r="AF4" s="2" t="s">
        <v>19</v>
      </c>
      <c r="AH4" s="2" t="s">
        <v>19</v>
      </c>
      <c r="AJ4" s="2" t="s">
        <v>19</v>
      </c>
      <c r="AL4" s="2" t="s">
        <v>19</v>
      </c>
      <c r="AN4" s="2" t="s">
        <v>19</v>
      </c>
      <c r="AP4" s="2" t="s">
        <v>19</v>
      </c>
      <c r="AR4" s="2" t="s">
        <v>19</v>
      </c>
      <c r="AT4" s="2" t="s">
        <v>19</v>
      </c>
      <c r="AV4" s="2" t="s">
        <v>19</v>
      </c>
      <c r="AX4" s="2" t="s">
        <v>19</v>
      </c>
      <c r="AZ4" s="2" t="s">
        <v>19</v>
      </c>
      <c r="BB4" s="2" t="s">
        <v>19</v>
      </c>
      <c r="BD4" s="2" t="s">
        <v>19</v>
      </c>
      <c r="BF4" s="2" t="s">
        <v>19</v>
      </c>
      <c r="BH4" s="2" t="s">
        <v>19</v>
      </c>
      <c r="BJ4" s="2" t="s">
        <v>20</v>
      </c>
      <c r="BL4" s="2" t="s">
        <v>20</v>
      </c>
      <c r="BN4" s="2" t="s">
        <v>20</v>
      </c>
      <c r="BP4" s="2" t="s">
        <v>20</v>
      </c>
    </row>
    <row r="5" customFormat="false" ht="13.8" hidden="false" customHeight="false" outlineLevel="0" collapsed="false">
      <c r="A5" s="1" t="s">
        <v>21</v>
      </c>
      <c r="B5" s="3" t="n">
        <v>45383</v>
      </c>
      <c r="D5" s="3" t="n">
        <v>45383</v>
      </c>
      <c r="F5" s="3" t="n">
        <v>45383</v>
      </c>
      <c r="H5" s="3" t="n">
        <v>45383</v>
      </c>
      <c r="J5" s="3" t="n">
        <v>45383</v>
      </c>
      <c r="L5" s="3" t="n">
        <v>45383</v>
      </c>
      <c r="N5" s="3" t="n">
        <v>45383</v>
      </c>
      <c r="P5" s="3" t="n">
        <v>45383</v>
      </c>
      <c r="R5" s="3" t="n">
        <v>45383</v>
      </c>
      <c r="T5" s="3" t="n">
        <v>45383</v>
      </c>
      <c r="V5" s="3" t="n">
        <v>45383</v>
      </c>
      <c r="X5" s="3" t="n">
        <v>45383</v>
      </c>
      <c r="Z5" s="3" t="n">
        <v>45383</v>
      </c>
      <c r="AB5" s="3" t="n">
        <v>45383</v>
      </c>
      <c r="AD5" s="3" t="n">
        <v>45383</v>
      </c>
      <c r="AF5" s="3" t="n">
        <v>45383</v>
      </c>
      <c r="AH5" s="3" t="n">
        <v>45383</v>
      </c>
      <c r="AJ5" s="3" t="n">
        <v>45383</v>
      </c>
      <c r="AL5" s="3" t="n">
        <v>45383</v>
      </c>
      <c r="AN5" s="3" t="n">
        <v>45383</v>
      </c>
      <c r="AP5" s="3" t="n">
        <v>45383</v>
      </c>
      <c r="AR5" s="3" t="n">
        <v>45383</v>
      </c>
      <c r="AT5" s="3" t="n">
        <v>45383</v>
      </c>
      <c r="AV5" s="3" t="n">
        <v>45383</v>
      </c>
      <c r="AX5" s="3" t="n">
        <v>45383</v>
      </c>
      <c r="AZ5" s="3" t="n">
        <v>45383</v>
      </c>
      <c r="BB5" s="3" t="n">
        <v>45383</v>
      </c>
      <c r="BD5" s="3" t="n">
        <v>45383</v>
      </c>
      <c r="BF5" s="3" t="n">
        <v>45383</v>
      </c>
      <c r="BH5" s="3" t="n">
        <v>45383</v>
      </c>
      <c r="BJ5" s="3" t="n">
        <v>45383</v>
      </c>
      <c r="BL5" s="3" t="n">
        <v>45383</v>
      </c>
      <c r="BN5" s="3" t="n">
        <v>45383</v>
      </c>
      <c r="BP5" s="3" t="n">
        <v>45383</v>
      </c>
      <c r="BR5" s="3" t="n">
        <v>45383</v>
      </c>
      <c r="BS5" s="3" t="n">
        <v>45383</v>
      </c>
      <c r="BT5" s="3" t="n">
        <v>45383</v>
      </c>
      <c r="BU5" s="3" t="n">
        <v>45383</v>
      </c>
      <c r="BV5" s="3" t="n">
        <v>45383</v>
      </c>
      <c r="BW5" s="3" t="n">
        <v>45383</v>
      </c>
      <c r="BX5" s="3" t="n">
        <v>45383</v>
      </c>
      <c r="BY5" s="3" t="n">
        <v>45383</v>
      </c>
      <c r="BZ5" s="3" t="n">
        <v>45383</v>
      </c>
    </row>
    <row r="6" customFormat="false" ht="13.8" hidden="false" customHeight="false" outlineLevel="0" collapsed="false">
      <c r="A6" s="1" t="s">
        <v>22</v>
      </c>
      <c r="B6" s="3" t="n">
        <v>45400</v>
      </c>
      <c r="D6" s="3" t="n">
        <v>45400</v>
      </c>
      <c r="F6" s="3" t="n">
        <v>45400</v>
      </c>
      <c r="H6" s="3" t="n">
        <v>45400</v>
      </c>
      <c r="J6" s="3" t="n">
        <v>45400</v>
      </c>
      <c r="L6" s="3" t="n">
        <v>45400</v>
      </c>
      <c r="N6" s="3" t="n">
        <v>45400</v>
      </c>
      <c r="P6" s="3" t="n">
        <v>45400</v>
      </c>
      <c r="R6" s="3" t="n">
        <v>45400</v>
      </c>
      <c r="T6" s="3" t="n">
        <v>45400</v>
      </c>
      <c r="V6" s="3" t="n">
        <v>45400</v>
      </c>
      <c r="X6" s="3" t="n">
        <v>45400</v>
      </c>
      <c r="Z6" s="3" t="n">
        <v>45400</v>
      </c>
      <c r="AB6" s="3" t="n">
        <v>45400</v>
      </c>
      <c r="AD6" s="3" t="n">
        <v>45400</v>
      </c>
      <c r="AF6" s="3" t="n">
        <v>45400</v>
      </c>
      <c r="AH6" s="3" t="n">
        <v>45400</v>
      </c>
      <c r="AJ6" s="3" t="n">
        <v>45400</v>
      </c>
      <c r="AL6" s="3" t="n">
        <v>45400</v>
      </c>
      <c r="AN6" s="3" t="n">
        <v>45400</v>
      </c>
      <c r="AP6" s="3" t="n">
        <v>45400</v>
      </c>
      <c r="AR6" s="3" t="n">
        <v>45400</v>
      </c>
      <c r="AT6" s="3" t="n">
        <v>45400</v>
      </c>
      <c r="AV6" s="3" t="n">
        <v>45400</v>
      </c>
      <c r="AX6" s="3" t="n">
        <v>45400</v>
      </c>
      <c r="AZ6" s="3" t="n">
        <v>45400</v>
      </c>
      <c r="BB6" s="3" t="n">
        <v>45400</v>
      </c>
      <c r="BD6" s="3" t="n">
        <v>45400</v>
      </c>
      <c r="BF6" s="3" t="n">
        <v>45400</v>
      </c>
      <c r="BH6" s="3" t="n">
        <v>45400</v>
      </c>
      <c r="BJ6" s="3" t="n">
        <v>45400</v>
      </c>
      <c r="BL6" s="3" t="n">
        <v>45400</v>
      </c>
      <c r="BN6" s="3" t="n">
        <v>45400</v>
      </c>
      <c r="BP6" s="3" t="n">
        <v>45400</v>
      </c>
      <c r="BR6" s="3" t="n">
        <v>45400</v>
      </c>
      <c r="BS6" s="3" t="n">
        <v>45400</v>
      </c>
      <c r="BT6" s="3" t="n">
        <v>45400</v>
      </c>
      <c r="BU6" s="3" t="n">
        <v>45400</v>
      </c>
      <c r="BV6" s="3" t="n">
        <v>45400</v>
      </c>
      <c r="BW6" s="3" t="n">
        <v>45400</v>
      </c>
      <c r="BX6" s="3" t="n">
        <v>45400</v>
      </c>
      <c r="BY6" s="3" t="n">
        <v>45400</v>
      </c>
      <c r="BZ6" s="3" t="n">
        <v>45400</v>
      </c>
    </row>
    <row r="7" customFormat="false" ht="13.8" hidden="false" customHeight="false" outlineLevel="0" collapsed="false">
      <c r="A7" s="1" t="s">
        <v>23</v>
      </c>
      <c r="B7" s="3" t="n">
        <v>45383</v>
      </c>
      <c r="D7" s="3" t="n">
        <v>45383</v>
      </c>
      <c r="F7" s="3" t="n">
        <v>45383</v>
      </c>
      <c r="H7" s="3" t="n">
        <v>45390</v>
      </c>
      <c r="J7" s="3" t="n">
        <v>45390</v>
      </c>
      <c r="L7" s="3" t="n">
        <v>45383</v>
      </c>
      <c r="N7" s="3" t="n">
        <v>45383</v>
      </c>
      <c r="P7" s="3" t="n">
        <v>45383</v>
      </c>
      <c r="R7" s="3" t="n">
        <v>45390</v>
      </c>
      <c r="T7" s="3" t="n">
        <v>45390</v>
      </c>
      <c r="V7" s="3" t="n">
        <v>45383</v>
      </c>
      <c r="X7" s="3" t="n">
        <v>45383</v>
      </c>
      <c r="Z7" s="3" t="n">
        <v>45383</v>
      </c>
      <c r="AB7" s="3" t="n">
        <v>45390</v>
      </c>
      <c r="AD7" s="3" t="n">
        <v>45390</v>
      </c>
      <c r="AF7" s="3" t="n">
        <v>45383</v>
      </c>
      <c r="AH7" s="3" t="n">
        <v>45383</v>
      </c>
      <c r="AJ7" s="3" t="n">
        <v>45383</v>
      </c>
      <c r="AL7" s="3" t="n">
        <v>45390</v>
      </c>
      <c r="AN7" s="3" t="n">
        <v>45390</v>
      </c>
      <c r="AP7" s="3" t="n">
        <v>45383</v>
      </c>
      <c r="AR7" s="3" t="n">
        <v>45383</v>
      </c>
      <c r="AT7" s="3" t="n">
        <v>45383</v>
      </c>
      <c r="AV7" s="3" t="n">
        <v>45390</v>
      </c>
      <c r="AX7" s="3" t="n">
        <v>45390</v>
      </c>
      <c r="AZ7" s="3" t="n">
        <v>45383</v>
      </c>
      <c r="BB7" s="3" t="n">
        <v>45383</v>
      </c>
      <c r="BD7" s="3" t="n">
        <v>45383</v>
      </c>
      <c r="BF7" s="3" t="n">
        <v>45390</v>
      </c>
      <c r="BH7" s="3" t="n">
        <v>45390</v>
      </c>
      <c r="BJ7" s="3" t="n">
        <v>45383</v>
      </c>
      <c r="BL7" s="3" t="n">
        <v>45390</v>
      </c>
      <c r="BN7" s="3" t="n">
        <v>45390</v>
      </c>
      <c r="BP7" s="3" t="n">
        <v>45383</v>
      </c>
      <c r="BR7" s="3" t="n">
        <v>45383</v>
      </c>
      <c r="BS7" s="3" t="n">
        <v>45383</v>
      </c>
      <c r="BT7" s="3" t="n">
        <v>45383</v>
      </c>
      <c r="BU7" s="3" t="n">
        <v>45383</v>
      </c>
      <c r="BV7" s="3" t="n">
        <v>45383</v>
      </c>
      <c r="BW7" s="3" t="n">
        <v>45383</v>
      </c>
      <c r="BX7" s="3" t="n">
        <v>45383</v>
      </c>
      <c r="BY7" s="3" t="n">
        <v>45383</v>
      </c>
      <c r="BZ7" s="3" t="n">
        <v>45383</v>
      </c>
    </row>
    <row r="8" customFormat="false" ht="13.8" hidden="false" customHeight="false" outlineLevel="0" collapsed="false">
      <c r="A8" s="1" t="s">
        <v>24</v>
      </c>
      <c r="B8" s="3" t="n">
        <v>45398</v>
      </c>
      <c r="D8" s="3" t="n">
        <v>45398</v>
      </c>
      <c r="F8" s="3" t="n">
        <v>45398</v>
      </c>
      <c r="H8" s="3" t="n">
        <v>45398</v>
      </c>
      <c r="J8" s="3" t="n">
        <v>45398</v>
      </c>
      <c r="L8" s="3" t="n">
        <v>45398</v>
      </c>
      <c r="N8" s="3" t="n">
        <v>45398</v>
      </c>
      <c r="P8" s="3" t="n">
        <v>45398</v>
      </c>
      <c r="R8" s="3" t="n">
        <v>45398</v>
      </c>
      <c r="T8" s="3" t="n">
        <v>45398</v>
      </c>
      <c r="V8" s="3" t="n">
        <v>45398</v>
      </c>
      <c r="X8" s="3" t="n">
        <v>45398</v>
      </c>
      <c r="Z8" s="3" t="n">
        <v>45398</v>
      </c>
      <c r="AB8" s="3" t="n">
        <v>45398</v>
      </c>
      <c r="AD8" s="3" t="n">
        <v>45398</v>
      </c>
      <c r="AF8" s="3" t="n">
        <v>45398</v>
      </c>
      <c r="AH8" s="3" t="n">
        <v>45398</v>
      </c>
      <c r="AJ8" s="3" t="n">
        <v>45398</v>
      </c>
      <c r="AL8" s="3" t="n">
        <v>45398</v>
      </c>
      <c r="AN8" s="3" t="n">
        <v>45398</v>
      </c>
      <c r="AP8" s="3" t="n">
        <v>45398</v>
      </c>
      <c r="AR8" s="3" t="n">
        <v>45398</v>
      </c>
      <c r="AT8" s="3" t="n">
        <v>45398</v>
      </c>
      <c r="AV8" s="3" t="n">
        <v>45398</v>
      </c>
      <c r="AX8" s="3" t="n">
        <v>45398</v>
      </c>
      <c r="AZ8" s="3" t="n">
        <v>45398</v>
      </c>
      <c r="BB8" s="3" t="n">
        <v>45398</v>
      </c>
      <c r="BD8" s="3" t="n">
        <v>45398</v>
      </c>
      <c r="BF8" s="3" t="n">
        <v>45398</v>
      </c>
      <c r="BH8" s="3" t="n">
        <v>45398</v>
      </c>
      <c r="BJ8" s="3" t="n">
        <v>45398</v>
      </c>
      <c r="BL8" s="3" t="n">
        <v>45398</v>
      </c>
      <c r="BN8" s="3" t="n">
        <v>45398</v>
      </c>
      <c r="BP8" s="3" t="n">
        <v>45388</v>
      </c>
      <c r="BR8" s="3" t="n">
        <v>45398</v>
      </c>
      <c r="BS8" s="3" t="n">
        <v>45398</v>
      </c>
      <c r="BT8" s="3" t="n">
        <v>45398</v>
      </c>
      <c r="BU8" s="3" t="n">
        <v>45398</v>
      </c>
      <c r="BV8" s="3" t="n">
        <v>45398</v>
      </c>
      <c r="BW8" s="3" t="n">
        <v>45398</v>
      </c>
      <c r="BX8" s="3" t="n">
        <v>45398</v>
      </c>
      <c r="BY8" s="3" t="n">
        <v>45398</v>
      </c>
      <c r="BZ8" s="3" t="n">
        <v>45398</v>
      </c>
    </row>
    <row r="9" customFormat="false" ht="13.8" hidden="false" customHeight="false" outlineLevel="0" collapsed="false">
      <c r="A9" s="1" t="s">
        <v>25</v>
      </c>
      <c r="B9" s="3" t="n">
        <v>45383</v>
      </c>
      <c r="D9" s="3" t="n">
        <v>45383</v>
      </c>
      <c r="F9" s="3" t="n">
        <v>45383</v>
      </c>
      <c r="H9" s="3" t="n">
        <v>45383</v>
      </c>
      <c r="J9" s="3" t="n">
        <v>45383</v>
      </c>
      <c r="L9" s="3" t="n">
        <v>45383</v>
      </c>
      <c r="N9" s="3" t="n">
        <v>45383</v>
      </c>
      <c r="P9" s="3" t="n">
        <v>45383</v>
      </c>
      <c r="R9" s="3" t="n">
        <v>45383</v>
      </c>
      <c r="T9" s="3" t="n">
        <v>45383</v>
      </c>
      <c r="V9" s="3" t="n">
        <v>45383</v>
      </c>
      <c r="X9" s="3" t="n">
        <v>45383</v>
      </c>
      <c r="Z9" s="3" t="n">
        <v>45383</v>
      </c>
      <c r="AB9" s="3" t="n">
        <v>45383</v>
      </c>
      <c r="AD9" s="3" t="n">
        <v>45383</v>
      </c>
      <c r="AF9" s="3" t="n">
        <v>45383</v>
      </c>
      <c r="AH9" s="3" t="n">
        <v>45383</v>
      </c>
      <c r="AJ9" s="3" t="n">
        <v>45383</v>
      </c>
      <c r="AL9" s="3" t="n">
        <v>45383</v>
      </c>
      <c r="AN9" s="3" t="n">
        <v>45383</v>
      </c>
      <c r="AP9" s="3" t="n">
        <v>45383</v>
      </c>
      <c r="AR9" s="3" t="n">
        <v>45383</v>
      </c>
      <c r="AT9" s="3" t="n">
        <v>45383</v>
      </c>
      <c r="AV9" s="3" t="n">
        <v>45383</v>
      </c>
      <c r="AX9" s="3" t="n">
        <v>45383</v>
      </c>
      <c r="AZ9" s="3" t="n">
        <v>45383</v>
      </c>
      <c r="BB9" s="3" t="n">
        <v>45383</v>
      </c>
      <c r="BD9" s="3" t="n">
        <v>45383</v>
      </c>
      <c r="BF9" s="3" t="n">
        <v>45383</v>
      </c>
      <c r="BH9" s="3" t="n">
        <v>45383</v>
      </c>
      <c r="BJ9" s="3" t="n">
        <v>45383</v>
      </c>
      <c r="BL9" s="3" t="n">
        <v>45383</v>
      </c>
      <c r="BN9" s="3" t="n">
        <v>45383</v>
      </c>
      <c r="BP9" s="3" t="n">
        <v>45383</v>
      </c>
    </row>
    <row r="10" customFormat="false" ht="13.8" hidden="false" customHeight="false" outlineLevel="0" collapsed="false">
      <c r="A10" s="1" t="s">
        <v>26</v>
      </c>
      <c r="B10" s="3" t="n">
        <v>45400</v>
      </c>
      <c r="D10" s="3" t="n">
        <v>45400</v>
      </c>
      <c r="F10" s="3" t="n">
        <v>45400</v>
      </c>
      <c r="H10" s="3" t="n">
        <v>45400</v>
      </c>
      <c r="J10" s="3" t="n">
        <v>45400</v>
      </c>
      <c r="L10" s="3" t="n">
        <v>45400</v>
      </c>
      <c r="N10" s="3" t="n">
        <v>45400</v>
      </c>
      <c r="P10" s="3" t="n">
        <v>45400</v>
      </c>
      <c r="R10" s="3" t="n">
        <v>45400</v>
      </c>
      <c r="T10" s="3" t="n">
        <v>45400</v>
      </c>
      <c r="V10" s="3" t="n">
        <v>45400</v>
      </c>
      <c r="X10" s="3" t="n">
        <v>45400</v>
      </c>
      <c r="Z10" s="3" t="n">
        <v>45400</v>
      </c>
      <c r="AB10" s="3" t="n">
        <v>45400</v>
      </c>
      <c r="AD10" s="3" t="n">
        <v>45400</v>
      </c>
      <c r="AF10" s="3" t="n">
        <v>45400</v>
      </c>
      <c r="AH10" s="3" t="n">
        <v>45400</v>
      </c>
      <c r="AJ10" s="3" t="n">
        <v>45400</v>
      </c>
      <c r="AL10" s="3" t="n">
        <v>45400</v>
      </c>
      <c r="AN10" s="3" t="n">
        <v>45400</v>
      </c>
      <c r="AP10" s="3" t="n">
        <v>45400</v>
      </c>
      <c r="AR10" s="3" t="n">
        <v>45400</v>
      </c>
      <c r="AT10" s="3" t="n">
        <v>45400</v>
      </c>
      <c r="AV10" s="3" t="n">
        <v>45400</v>
      </c>
      <c r="AX10" s="3" t="n">
        <v>45400</v>
      </c>
      <c r="AZ10" s="3" t="n">
        <v>45400</v>
      </c>
      <c r="BB10" s="3" t="n">
        <v>45400</v>
      </c>
      <c r="BD10" s="3" t="n">
        <v>45400</v>
      </c>
      <c r="BF10" s="3" t="n">
        <v>45400</v>
      </c>
      <c r="BH10" s="3" t="n">
        <v>45400</v>
      </c>
      <c r="BJ10" s="3" t="n">
        <v>45400</v>
      </c>
      <c r="BL10" s="3" t="n">
        <v>45400</v>
      </c>
      <c r="BN10" s="3" t="n">
        <v>45400</v>
      </c>
      <c r="BP10" s="3" t="n">
        <v>45400</v>
      </c>
    </row>
    <row r="11" customFormat="false" ht="13.8" hidden="false" customHeight="false" outlineLevel="0" collapsed="false">
      <c r="A11" s="1" t="s">
        <v>27</v>
      </c>
      <c r="B11" s="2" t="s">
        <v>28</v>
      </c>
      <c r="D11" s="2" t="s">
        <v>28</v>
      </c>
      <c r="F11" s="2" t="s">
        <v>28</v>
      </c>
      <c r="H11" s="2" t="s">
        <v>28</v>
      </c>
      <c r="J11" s="2" t="s">
        <v>28</v>
      </c>
      <c r="L11" s="2" t="s">
        <v>28</v>
      </c>
      <c r="N11" s="2" t="s">
        <v>28</v>
      </c>
      <c r="P11" s="2" t="s">
        <v>28</v>
      </c>
      <c r="R11" s="2" t="s">
        <v>28</v>
      </c>
      <c r="T11" s="2" t="s">
        <v>28</v>
      </c>
      <c r="V11" s="2" t="s">
        <v>28</v>
      </c>
      <c r="X11" s="2" t="s">
        <v>28</v>
      </c>
      <c r="Z11" s="2" t="s">
        <v>28</v>
      </c>
      <c r="AB11" s="2" t="s">
        <v>28</v>
      </c>
      <c r="AD11" s="2" t="s">
        <v>28</v>
      </c>
      <c r="AF11" s="2" t="s">
        <v>28</v>
      </c>
      <c r="AH11" s="2" t="s">
        <v>28</v>
      </c>
      <c r="AJ11" s="2" t="s">
        <v>28</v>
      </c>
      <c r="AL11" s="2" t="s">
        <v>28</v>
      </c>
      <c r="AN11" s="2" t="s">
        <v>28</v>
      </c>
      <c r="AP11" s="2" t="s">
        <v>28</v>
      </c>
      <c r="AR11" s="2" t="s">
        <v>28</v>
      </c>
      <c r="AT11" s="2" t="s">
        <v>28</v>
      </c>
      <c r="AV11" s="2" t="s">
        <v>28</v>
      </c>
      <c r="AX11" s="2" t="s">
        <v>28</v>
      </c>
      <c r="AZ11" s="2" t="s">
        <v>28</v>
      </c>
      <c r="BB11" s="2" t="s">
        <v>28</v>
      </c>
      <c r="BD11" s="2" t="s">
        <v>28</v>
      </c>
      <c r="BF11" s="2" t="s">
        <v>28</v>
      </c>
      <c r="BH11" s="2" t="s">
        <v>28</v>
      </c>
      <c r="BJ11" s="2" t="s">
        <v>28</v>
      </c>
      <c r="BL11" s="2" t="s">
        <v>28</v>
      </c>
      <c r="BN11" s="2" t="s">
        <v>28</v>
      </c>
      <c r="BP11" s="2" t="s">
        <v>28</v>
      </c>
    </row>
    <row r="12" customFormat="false" ht="13.8" hidden="false" customHeight="false" outlineLevel="0" collapsed="false">
      <c r="A12" s="1" t="s">
        <v>29</v>
      </c>
      <c r="B12" s="2" t="s">
        <v>30</v>
      </c>
      <c r="D12" s="2" t="s">
        <v>30</v>
      </c>
      <c r="F12" s="2" t="s">
        <v>30</v>
      </c>
      <c r="H12" s="2" t="s">
        <v>30</v>
      </c>
      <c r="J12" s="2" t="s">
        <v>30</v>
      </c>
      <c r="L12" s="2" t="s">
        <v>30</v>
      </c>
      <c r="N12" s="2" t="s">
        <v>30</v>
      </c>
      <c r="P12" s="2" t="s">
        <v>30</v>
      </c>
      <c r="R12" s="2" t="s">
        <v>30</v>
      </c>
      <c r="T12" s="2" t="s">
        <v>30</v>
      </c>
      <c r="V12" s="2" t="s">
        <v>30</v>
      </c>
      <c r="X12" s="2" t="s">
        <v>30</v>
      </c>
      <c r="Z12" s="2" t="s">
        <v>30</v>
      </c>
      <c r="AB12" s="2" t="s">
        <v>30</v>
      </c>
      <c r="AD12" s="2" t="s">
        <v>30</v>
      </c>
      <c r="AF12" s="2" t="s">
        <v>30</v>
      </c>
      <c r="AH12" s="2" t="s">
        <v>30</v>
      </c>
      <c r="AJ12" s="2" t="s">
        <v>30</v>
      </c>
      <c r="AL12" s="2" t="s">
        <v>30</v>
      </c>
      <c r="AN12" s="2" t="s">
        <v>30</v>
      </c>
      <c r="AP12" s="2" t="s">
        <v>30</v>
      </c>
      <c r="AR12" s="2" t="s">
        <v>30</v>
      </c>
      <c r="AT12" s="2" t="s">
        <v>30</v>
      </c>
      <c r="AV12" s="2" t="s">
        <v>30</v>
      </c>
      <c r="AX12" s="2" t="s">
        <v>30</v>
      </c>
      <c r="AZ12" s="2" t="s">
        <v>30</v>
      </c>
      <c r="BB12" s="2" t="s">
        <v>30</v>
      </c>
      <c r="BD12" s="2" t="s">
        <v>30</v>
      </c>
      <c r="BF12" s="2" t="s">
        <v>30</v>
      </c>
      <c r="BH12" s="2" t="s">
        <v>30</v>
      </c>
      <c r="BJ12" s="2" t="s">
        <v>30</v>
      </c>
      <c r="BL12" s="2" t="s">
        <v>30</v>
      </c>
      <c r="BN12" s="2" t="s">
        <v>30</v>
      </c>
      <c r="BP12" s="2" t="s">
        <v>30</v>
      </c>
    </row>
    <row r="13" customFormat="false" ht="13.8" hidden="false" customHeight="false" outlineLevel="0" collapsed="false">
      <c r="A13" s="1" t="s">
        <v>31</v>
      </c>
    </row>
    <row r="14" customFormat="false" ht="13.8" hidden="false" customHeight="false" outlineLevel="0" collapsed="false">
      <c r="A14" s="1" t="s">
        <v>32</v>
      </c>
      <c r="B14" s="2" t="s">
        <v>33</v>
      </c>
      <c r="D14" s="2" t="s">
        <v>34</v>
      </c>
      <c r="F14" s="2" t="s">
        <v>35</v>
      </c>
      <c r="H14" s="2" t="s">
        <v>36</v>
      </c>
      <c r="J14" s="2" t="s">
        <v>37</v>
      </c>
      <c r="L14" s="2" t="s">
        <v>33</v>
      </c>
      <c r="N14" s="2" t="s">
        <v>34</v>
      </c>
      <c r="P14" s="2" t="s">
        <v>35</v>
      </c>
      <c r="R14" s="2" t="s">
        <v>36</v>
      </c>
      <c r="T14" s="2" t="s">
        <v>37</v>
      </c>
      <c r="V14" s="2" t="s">
        <v>33</v>
      </c>
      <c r="X14" s="2" t="s">
        <v>34</v>
      </c>
      <c r="Z14" s="2" t="s">
        <v>35</v>
      </c>
      <c r="AB14" s="2" t="s">
        <v>36</v>
      </c>
      <c r="AD14" s="2" t="s">
        <v>37</v>
      </c>
      <c r="AF14" s="2" t="s">
        <v>33</v>
      </c>
      <c r="AH14" s="2" t="s">
        <v>34</v>
      </c>
      <c r="AJ14" s="2" t="s">
        <v>35</v>
      </c>
      <c r="AL14" s="2" t="s">
        <v>36</v>
      </c>
      <c r="AN14" s="2" t="s">
        <v>37</v>
      </c>
      <c r="AP14" s="2" t="s">
        <v>33</v>
      </c>
      <c r="AR14" s="2" t="s">
        <v>34</v>
      </c>
      <c r="AT14" s="2" t="s">
        <v>35</v>
      </c>
      <c r="AV14" s="2" t="s">
        <v>36</v>
      </c>
      <c r="AX14" s="2" t="s">
        <v>37</v>
      </c>
      <c r="AZ14" s="2" t="s">
        <v>33</v>
      </c>
      <c r="BB14" s="2" t="s">
        <v>34</v>
      </c>
      <c r="BD14" s="2" t="s">
        <v>35</v>
      </c>
      <c r="BF14" s="2" t="s">
        <v>36</v>
      </c>
      <c r="BH14" s="2" t="s">
        <v>37</v>
      </c>
      <c r="BJ14" s="2" t="s">
        <v>38</v>
      </c>
      <c r="BL14" s="2" t="s">
        <v>39</v>
      </c>
      <c r="BN14" s="2" t="s">
        <v>40</v>
      </c>
      <c r="BP14" s="2" t="s">
        <v>41</v>
      </c>
      <c r="BR14" s="2" t="s">
        <v>33</v>
      </c>
      <c r="BS14" s="2" t="s">
        <v>34</v>
      </c>
      <c r="BT14" s="2" t="s">
        <v>35</v>
      </c>
      <c r="BU14" s="2" t="s">
        <v>36</v>
      </c>
      <c r="BV14" s="2" t="s">
        <v>37</v>
      </c>
      <c r="BW14" s="2" t="s">
        <v>38</v>
      </c>
      <c r="BX14" s="2" t="s">
        <v>39</v>
      </c>
      <c r="BY14" s="2" t="s">
        <v>40</v>
      </c>
      <c r="BZ14" s="2" t="s">
        <v>41</v>
      </c>
    </row>
    <row r="15" customFormat="false" ht="13.8" hidden="false" customHeight="false" outlineLevel="0" collapsed="false">
      <c r="A15" s="1" t="s">
        <v>42</v>
      </c>
      <c r="B15" s="0" t="s">
        <v>43</v>
      </c>
      <c r="D15" s="0" t="s">
        <v>43</v>
      </c>
      <c r="F15" s="0" t="s">
        <v>43</v>
      </c>
      <c r="H15" s="0" t="s">
        <v>43</v>
      </c>
      <c r="J15" s="0" t="s">
        <v>43</v>
      </c>
      <c r="L15" s="0" t="s">
        <v>43</v>
      </c>
      <c r="N15" s="0" t="s">
        <v>43</v>
      </c>
      <c r="P15" s="0" t="s">
        <v>43</v>
      </c>
      <c r="R15" s="0" t="s">
        <v>43</v>
      </c>
      <c r="T15" s="0" t="s">
        <v>43</v>
      </c>
      <c r="V15" s="0" t="s">
        <v>43</v>
      </c>
      <c r="X15" s="0" t="s">
        <v>43</v>
      </c>
      <c r="Z15" s="0" t="s">
        <v>43</v>
      </c>
      <c r="AB15" s="0" t="s">
        <v>43</v>
      </c>
      <c r="AD15" s="0" t="s">
        <v>43</v>
      </c>
      <c r="AF15" s="0" t="s">
        <v>43</v>
      </c>
      <c r="AH15" s="0" t="s">
        <v>43</v>
      </c>
      <c r="AJ15" s="0" t="s">
        <v>43</v>
      </c>
      <c r="AL15" s="0" t="s">
        <v>43</v>
      </c>
      <c r="AN15" s="0" t="s">
        <v>43</v>
      </c>
      <c r="AP15" s="0" t="s">
        <v>43</v>
      </c>
      <c r="AR15" s="0" t="s">
        <v>43</v>
      </c>
      <c r="AT15" s="0" t="s">
        <v>43</v>
      </c>
      <c r="AV15" s="0" t="s">
        <v>43</v>
      </c>
      <c r="AX15" s="0" t="s">
        <v>43</v>
      </c>
      <c r="AZ15" s="0" t="s">
        <v>43</v>
      </c>
      <c r="BB15" s="0" t="s">
        <v>43</v>
      </c>
      <c r="BD15" s="0" t="s">
        <v>43</v>
      </c>
      <c r="BF15" s="0" t="s">
        <v>43</v>
      </c>
      <c r="BH15" s="0" t="s">
        <v>43</v>
      </c>
      <c r="BJ15" s="0" t="s">
        <v>43</v>
      </c>
      <c r="BL15" s="0" t="s">
        <v>43</v>
      </c>
      <c r="BN15" s="0" t="s">
        <v>43</v>
      </c>
      <c r="BP15" s="0" t="s">
        <v>43</v>
      </c>
    </row>
    <row r="16" customFormat="false" ht="13.9" hidden="false" customHeight="false" outlineLevel="0" collapsed="false">
      <c r="A16" s="4" t="s">
        <v>44</v>
      </c>
      <c r="B16" s="5" t="n">
        <v>3409.556</v>
      </c>
      <c r="C16" s="2" t="s">
        <v>45</v>
      </c>
      <c r="D16" s="5" t="n">
        <v>3105.315377</v>
      </c>
      <c r="E16" s="2" t="s">
        <v>45</v>
      </c>
      <c r="F16" s="5" t="n">
        <v>1564.647113</v>
      </c>
      <c r="G16" s="2" t="s">
        <v>45</v>
      </c>
      <c r="H16" s="5" t="n">
        <v>873.441261</v>
      </c>
      <c r="I16" s="2" t="s">
        <v>45</v>
      </c>
      <c r="J16" s="5" t="n">
        <v>1908.533</v>
      </c>
      <c r="K16" s="2" t="s">
        <v>45</v>
      </c>
      <c r="L16" s="5" t="n">
        <v>3278.325</v>
      </c>
      <c r="M16" s="2" t="s">
        <v>45</v>
      </c>
      <c r="N16" s="5" t="n">
        <v>4115.840149</v>
      </c>
      <c r="O16" s="2" t="s">
        <v>45</v>
      </c>
      <c r="P16" s="5" t="n">
        <v>2134.702519</v>
      </c>
      <c r="Q16" s="2" t="s">
        <v>45</v>
      </c>
      <c r="R16" s="5" t="n">
        <v>1180.882252</v>
      </c>
      <c r="S16" s="2" t="s">
        <v>45</v>
      </c>
      <c r="T16" s="5" t="n">
        <v>1824.874</v>
      </c>
      <c r="U16" s="2" t="s">
        <v>45</v>
      </c>
      <c r="V16" s="5" t="n">
        <v>2596.741</v>
      </c>
      <c r="W16" s="2" t="s">
        <v>45</v>
      </c>
      <c r="X16" s="5" t="n">
        <v>2715.321759</v>
      </c>
      <c r="Y16" s="2" t="s">
        <v>45</v>
      </c>
      <c r="Z16" s="5" t="n">
        <v>1525.80286</v>
      </c>
      <c r="AA16" s="2" t="s">
        <v>45</v>
      </c>
      <c r="AB16" s="5" t="n">
        <v>935.921582</v>
      </c>
      <c r="AC16" s="2" t="s">
        <v>45</v>
      </c>
      <c r="AD16" s="5" t="n">
        <v>1619.477</v>
      </c>
      <c r="AE16" s="2" t="s">
        <v>45</v>
      </c>
      <c r="AF16" s="5" t="n">
        <v>1258.141</v>
      </c>
      <c r="AG16" s="2" t="s">
        <v>45</v>
      </c>
      <c r="AH16" s="5" t="n">
        <v>1416.301137</v>
      </c>
      <c r="AI16" s="2" t="s">
        <v>45</v>
      </c>
      <c r="AJ16" s="5" t="n">
        <v>763.172861</v>
      </c>
      <c r="AK16" s="2" t="s">
        <v>45</v>
      </c>
      <c r="AL16" s="5" t="n">
        <v>445.913786</v>
      </c>
      <c r="AM16" s="2" t="s">
        <v>45</v>
      </c>
      <c r="AN16" s="5" t="n">
        <v>746.697</v>
      </c>
      <c r="AO16" s="2" t="s">
        <v>45</v>
      </c>
      <c r="AP16" s="5" t="n">
        <v>10905.735</v>
      </c>
      <c r="AQ16" s="2" t="s">
        <v>45</v>
      </c>
      <c r="AR16" s="5" t="n">
        <v>12223.879058</v>
      </c>
      <c r="AS16" s="2" t="s">
        <v>45</v>
      </c>
      <c r="AT16" s="5" t="n">
        <v>5949.085227</v>
      </c>
      <c r="AU16" s="2" t="s">
        <v>45</v>
      </c>
      <c r="AV16" s="5" t="n">
        <v>3092.31082</v>
      </c>
      <c r="AW16" s="2" t="s">
        <v>45</v>
      </c>
      <c r="AX16" s="5" t="n">
        <v>5754.81</v>
      </c>
      <c r="AY16" s="2" t="s">
        <v>45</v>
      </c>
      <c r="AZ16" s="5" t="n">
        <v>5948.34</v>
      </c>
      <c r="BA16" s="2" t="s">
        <v>45</v>
      </c>
      <c r="BB16" s="5" t="n">
        <v>8214.252505</v>
      </c>
      <c r="BC16" s="2" t="s">
        <v>45</v>
      </c>
      <c r="BD16" s="5" t="n">
        <v>4020.56041</v>
      </c>
      <c r="BE16" s="2" t="s">
        <v>45</v>
      </c>
      <c r="BF16" s="5" t="n">
        <v>2128.478795</v>
      </c>
      <c r="BG16" s="2" t="s">
        <v>45</v>
      </c>
      <c r="BH16" s="5" t="n">
        <v>3197.01</v>
      </c>
      <c r="BI16" s="2" t="s">
        <v>45</v>
      </c>
      <c r="BJ16" s="5" t="n">
        <v>26882.73</v>
      </c>
      <c r="BK16" s="2" t="s">
        <v>45</v>
      </c>
      <c r="BL16" s="5" t="n">
        <v>17113.11</v>
      </c>
      <c r="BM16" s="2" t="s">
        <v>45</v>
      </c>
      <c r="BN16" s="5" t="n">
        <v>8456.161542</v>
      </c>
      <c r="BO16" s="2" t="s">
        <v>45</v>
      </c>
      <c r="BP16" s="5" t="n">
        <v>4621.777029</v>
      </c>
      <c r="BQ16" s="2" t="s">
        <v>45</v>
      </c>
      <c r="BR16" s="5" t="n">
        <v>27396.838</v>
      </c>
      <c r="BS16" s="5" t="n">
        <v>31790.909985</v>
      </c>
      <c r="BT16" s="5" t="n">
        <v>15957.97099</v>
      </c>
      <c r="BU16" s="5" t="n">
        <v>8656.948496</v>
      </c>
      <c r="BV16" s="5" t="n">
        <v>15051.401</v>
      </c>
      <c r="BW16" s="5" t="n">
        <v>26882.73</v>
      </c>
      <c r="BX16" s="5" t="n">
        <v>17113.11</v>
      </c>
      <c r="BY16" s="5" t="n">
        <v>8456.161542</v>
      </c>
      <c r="BZ16" s="5" t="n">
        <v>4621.777029</v>
      </c>
    </row>
    <row r="17" customFormat="false" ht="13.8" hidden="false" customHeight="false" outlineLevel="0" collapsed="false">
      <c r="A17" s="3" t="n">
        <v>45383.2708333333</v>
      </c>
      <c r="B17" s="5" t="n">
        <v>1.704</v>
      </c>
      <c r="C17" s="2" t="s">
        <v>46</v>
      </c>
      <c r="D17" s="5" t="n">
        <v>0.020107</v>
      </c>
      <c r="E17" s="2" t="s">
        <v>46</v>
      </c>
      <c r="F17" s="5" t="n">
        <v>0.020107</v>
      </c>
      <c r="G17" s="2" t="s">
        <v>46</v>
      </c>
      <c r="H17" s="5" t="n">
        <f aca="false">F17*0.8</f>
        <v>0.0160856</v>
      </c>
      <c r="J17" s="0" t="n">
        <f aca="false">B17*0.6</f>
        <v>1.0224</v>
      </c>
      <c r="L17" s="5" t="n">
        <v>1.101</v>
      </c>
      <c r="M17" s="2" t="s">
        <v>46</v>
      </c>
      <c r="N17" s="5" t="n">
        <v>0.012992</v>
      </c>
      <c r="O17" s="2" t="s">
        <v>46</v>
      </c>
      <c r="P17" s="5" t="n">
        <v>0.012992</v>
      </c>
      <c r="Q17" s="2" t="s">
        <v>46</v>
      </c>
      <c r="V17" s="5" t="n">
        <v>0.941</v>
      </c>
      <c r="W17" s="2" t="s">
        <v>46</v>
      </c>
      <c r="X17" s="5" t="n">
        <v>0.011104</v>
      </c>
      <c r="Y17" s="2" t="s">
        <v>46</v>
      </c>
      <c r="Z17" s="5" t="n">
        <v>0.011104</v>
      </c>
      <c r="AA17" s="2" t="s">
        <v>46</v>
      </c>
      <c r="AF17" s="5" t="n">
        <v>0.056</v>
      </c>
      <c r="AG17" s="2" t="s">
        <v>46</v>
      </c>
      <c r="AH17" s="5" t="n">
        <v>0.000661</v>
      </c>
      <c r="AI17" s="2" t="s">
        <v>46</v>
      </c>
      <c r="AJ17" s="5" t="n">
        <v>0.000661</v>
      </c>
      <c r="AK17" s="2" t="s">
        <v>46</v>
      </c>
      <c r="AP17" s="5" t="n">
        <v>3.5475</v>
      </c>
      <c r="AQ17" s="2" t="s">
        <v>46</v>
      </c>
      <c r="AR17" s="5" t="n">
        <v>0.04186</v>
      </c>
      <c r="AS17" s="2" t="s">
        <v>46</v>
      </c>
      <c r="AT17" s="5" t="n">
        <v>0.04186</v>
      </c>
      <c r="AU17" s="2" t="s">
        <v>46</v>
      </c>
      <c r="AZ17" s="5" t="n">
        <v>2.82</v>
      </c>
      <c r="BA17" s="2" t="s">
        <v>46</v>
      </c>
      <c r="BB17" s="5" t="n">
        <v>0.033276</v>
      </c>
      <c r="BC17" s="2" t="s">
        <v>46</v>
      </c>
      <c r="BD17" s="5" t="n">
        <v>0.033276</v>
      </c>
      <c r="BE17" s="2" t="s">
        <v>46</v>
      </c>
      <c r="BJ17" s="5" t="n">
        <v>0.12</v>
      </c>
      <c r="BK17" s="2" t="s">
        <v>46</v>
      </c>
      <c r="BL17" s="0" t="n">
        <f aca="false">BJ17*0.4</f>
        <v>0.048</v>
      </c>
      <c r="BN17" s="0" t="n">
        <f aca="false">BP17*0.9</f>
        <v>0</v>
      </c>
      <c r="BP17" s="5" t="n">
        <v>0</v>
      </c>
      <c r="BQ17" s="2" t="s">
        <v>46</v>
      </c>
      <c r="BR17" s="5" t="n">
        <v>10.1695</v>
      </c>
      <c r="BS17" s="5" t="n">
        <v>0.12</v>
      </c>
      <c r="BT17" s="5" t="n">
        <v>0.12</v>
      </c>
      <c r="BU17" s="5" t="n">
        <v>0</v>
      </c>
      <c r="BV17" s="5" t="n">
        <v>0</v>
      </c>
      <c r="BW17" s="5" t="n">
        <v>0.12</v>
      </c>
      <c r="BX17" s="5" t="n">
        <v>0</v>
      </c>
      <c r="BY17" s="5" t="n">
        <v>0</v>
      </c>
      <c r="BZ17" s="5" t="n">
        <v>0</v>
      </c>
    </row>
    <row r="18" customFormat="false" ht="13.8" hidden="false" customHeight="false" outlineLevel="0" collapsed="false">
      <c r="A18" s="3" t="n">
        <v>45383.28125</v>
      </c>
      <c r="B18" s="5" t="n">
        <v>1.574</v>
      </c>
      <c r="C18" s="2" t="s">
        <v>46</v>
      </c>
      <c r="D18" s="5" t="n">
        <v>0.150035</v>
      </c>
      <c r="E18" s="2" t="s">
        <v>46</v>
      </c>
      <c r="F18" s="5" t="n">
        <v>0.150035</v>
      </c>
      <c r="G18" s="2" t="s">
        <v>46</v>
      </c>
      <c r="H18" s="5" t="n">
        <f aca="false">F18*0.8</f>
        <v>0.120028</v>
      </c>
      <c r="J18" s="0" t="n">
        <f aca="false">B18*0.6</f>
        <v>0.9444</v>
      </c>
      <c r="L18" s="5" t="n">
        <v>1.14</v>
      </c>
      <c r="M18" s="2" t="s">
        <v>46</v>
      </c>
      <c r="N18" s="5" t="n">
        <v>0.108666</v>
      </c>
      <c r="O18" s="2" t="s">
        <v>46</v>
      </c>
      <c r="P18" s="5" t="n">
        <v>0.108666</v>
      </c>
      <c r="Q18" s="2" t="s">
        <v>46</v>
      </c>
      <c r="V18" s="5" t="n">
        <v>0.332</v>
      </c>
      <c r="W18" s="2" t="s">
        <v>46</v>
      </c>
      <c r="X18" s="5" t="n">
        <v>0.031647</v>
      </c>
      <c r="Y18" s="2" t="s">
        <v>46</v>
      </c>
      <c r="Z18" s="5" t="n">
        <v>0.031647</v>
      </c>
      <c r="AA18" s="2" t="s">
        <v>46</v>
      </c>
      <c r="AF18" s="5" t="n">
        <v>0.073</v>
      </c>
      <c r="AG18" s="2" t="s">
        <v>46</v>
      </c>
      <c r="AH18" s="5" t="n">
        <v>0.006958</v>
      </c>
      <c r="AI18" s="2" t="s">
        <v>46</v>
      </c>
      <c r="AJ18" s="5" t="n">
        <v>0.006958</v>
      </c>
      <c r="AK18" s="2" t="s">
        <v>46</v>
      </c>
      <c r="AP18" s="5" t="n">
        <v>3.9075</v>
      </c>
      <c r="AQ18" s="2" t="s">
        <v>46</v>
      </c>
      <c r="AR18" s="5" t="n">
        <v>0.372467</v>
      </c>
      <c r="AS18" s="2" t="s">
        <v>46</v>
      </c>
      <c r="AT18" s="5" t="n">
        <v>0.372467</v>
      </c>
      <c r="AU18" s="2" t="s">
        <v>46</v>
      </c>
      <c r="AZ18" s="5" t="n">
        <v>2.73</v>
      </c>
      <c r="BA18" s="2" t="s">
        <v>46</v>
      </c>
      <c r="BB18" s="5" t="n">
        <v>0.260227</v>
      </c>
      <c r="BC18" s="2" t="s">
        <v>46</v>
      </c>
      <c r="BD18" s="5" t="n">
        <v>0.260227</v>
      </c>
      <c r="BE18" s="2" t="s">
        <v>46</v>
      </c>
      <c r="BJ18" s="5" t="n">
        <v>0.93</v>
      </c>
      <c r="BK18" s="2" t="s">
        <v>46</v>
      </c>
      <c r="BL18" s="0" t="n">
        <f aca="false">BJ18*0.4</f>
        <v>0.372</v>
      </c>
      <c r="BN18" s="0" t="n">
        <f aca="false">BP18*0.9</f>
        <v>0</v>
      </c>
      <c r="BP18" s="5" t="n">
        <v>0</v>
      </c>
      <c r="BQ18" s="2" t="s">
        <v>46</v>
      </c>
      <c r="BR18" s="5" t="n">
        <v>9.7565</v>
      </c>
      <c r="BS18" s="5" t="n">
        <v>0.93</v>
      </c>
      <c r="BT18" s="5" t="n">
        <v>0.93</v>
      </c>
      <c r="BU18" s="5" t="n">
        <v>0</v>
      </c>
      <c r="BV18" s="5" t="n">
        <v>0</v>
      </c>
      <c r="BW18" s="5" t="n">
        <v>0.93</v>
      </c>
      <c r="BX18" s="5" t="n">
        <v>0</v>
      </c>
      <c r="BY18" s="5" t="n">
        <v>0</v>
      </c>
      <c r="BZ18" s="5" t="n">
        <v>0</v>
      </c>
    </row>
    <row r="19" customFormat="false" ht="13.8" hidden="false" customHeight="false" outlineLevel="0" collapsed="false">
      <c r="A19" s="3" t="n">
        <v>45383.2916666667</v>
      </c>
      <c r="B19" s="5" t="n">
        <v>1.395</v>
      </c>
      <c r="C19" s="2" t="s">
        <v>46</v>
      </c>
      <c r="D19" s="5" t="n">
        <v>0.36197</v>
      </c>
      <c r="E19" s="2" t="s">
        <v>46</v>
      </c>
      <c r="F19" s="5" t="n">
        <v>0.36197</v>
      </c>
      <c r="G19" s="2" t="s">
        <v>46</v>
      </c>
      <c r="H19" s="5" t="n">
        <f aca="false">F19*0.8</f>
        <v>0.289576</v>
      </c>
      <c r="J19" s="0" t="n">
        <f aca="false">B19*0.6</f>
        <v>0.837</v>
      </c>
      <c r="L19" s="5" t="n">
        <v>1.081</v>
      </c>
      <c r="M19" s="2" t="s">
        <v>46</v>
      </c>
      <c r="N19" s="5" t="n">
        <v>0.280494</v>
      </c>
      <c r="O19" s="2" t="s">
        <v>46</v>
      </c>
      <c r="P19" s="5" t="n">
        <v>0.280494</v>
      </c>
      <c r="Q19" s="2" t="s">
        <v>46</v>
      </c>
      <c r="V19" s="5" t="n">
        <v>0.857</v>
      </c>
      <c r="W19" s="2" t="s">
        <v>46</v>
      </c>
      <c r="X19" s="5" t="n">
        <v>0.222371</v>
      </c>
      <c r="Y19" s="2" t="s">
        <v>46</v>
      </c>
      <c r="Z19" s="5" t="n">
        <v>0.222371</v>
      </c>
      <c r="AA19" s="2" t="s">
        <v>46</v>
      </c>
      <c r="AF19" s="5" t="n">
        <v>0.07</v>
      </c>
      <c r="AG19" s="2" t="s">
        <v>46</v>
      </c>
      <c r="AH19" s="5" t="n">
        <v>0.018163</v>
      </c>
      <c r="AI19" s="2" t="s">
        <v>46</v>
      </c>
      <c r="AJ19" s="5" t="n">
        <v>0.018163</v>
      </c>
      <c r="AK19" s="2" t="s">
        <v>46</v>
      </c>
      <c r="AP19" s="5" t="n">
        <v>4.7475</v>
      </c>
      <c r="AQ19" s="2" t="s">
        <v>46</v>
      </c>
      <c r="AR19" s="5" t="n">
        <v>1.231865</v>
      </c>
      <c r="AS19" s="2" t="s">
        <v>46</v>
      </c>
      <c r="AT19" s="5" t="n">
        <v>1.231865</v>
      </c>
      <c r="AU19" s="2" t="s">
        <v>46</v>
      </c>
      <c r="AZ19" s="5" t="n">
        <v>3.18</v>
      </c>
      <c r="BA19" s="2" t="s">
        <v>46</v>
      </c>
      <c r="BB19" s="5" t="n">
        <v>0.825136</v>
      </c>
      <c r="BC19" s="2" t="s">
        <v>46</v>
      </c>
      <c r="BD19" s="5" t="n">
        <v>0.825136</v>
      </c>
      <c r="BE19" s="2" t="s">
        <v>46</v>
      </c>
      <c r="BJ19" s="5" t="n">
        <v>2.94</v>
      </c>
      <c r="BK19" s="2" t="s">
        <v>46</v>
      </c>
      <c r="BL19" s="0" t="n">
        <f aca="false">BJ19*0.4</f>
        <v>1.176</v>
      </c>
      <c r="BN19" s="0" t="n">
        <f aca="false">BP19*0.9</f>
        <v>0.09</v>
      </c>
      <c r="BP19" s="5" t="n">
        <v>0.1</v>
      </c>
      <c r="BQ19" s="2" t="s">
        <v>46</v>
      </c>
      <c r="BR19" s="5" t="n">
        <v>11.3305</v>
      </c>
      <c r="BS19" s="5" t="n">
        <v>2.939999</v>
      </c>
      <c r="BT19" s="5" t="n">
        <v>2.939999</v>
      </c>
      <c r="BU19" s="5" t="n">
        <v>0</v>
      </c>
      <c r="BV19" s="5" t="n">
        <v>0</v>
      </c>
      <c r="BW19" s="5" t="n">
        <v>2.94</v>
      </c>
      <c r="BX19" s="5" t="n">
        <v>0</v>
      </c>
      <c r="BY19" s="5" t="n">
        <v>0</v>
      </c>
      <c r="BZ19" s="5" t="n">
        <v>1E-006</v>
      </c>
    </row>
    <row r="20" customFormat="false" ht="13.8" hidden="false" customHeight="false" outlineLevel="0" collapsed="false">
      <c r="A20" s="3" t="n">
        <v>45383.3020833333</v>
      </c>
      <c r="B20" s="5" t="n">
        <v>1.814</v>
      </c>
      <c r="C20" s="2" t="s">
        <v>46</v>
      </c>
      <c r="D20" s="5" t="n">
        <v>0.619655</v>
      </c>
      <c r="E20" s="2" t="s">
        <v>46</v>
      </c>
      <c r="F20" s="5" t="n">
        <v>0.619655</v>
      </c>
      <c r="G20" s="2" t="s">
        <v>46</v>
      </c>
      <c r="H20" s="5" t="n">
        <f aca="false">F20*0.8</f>
        <v>0.495724</v>
      </c>
      <c r="J20" s="0" t="n">
        <f aca="false">B20*0.6</f>
        <v>1.0884</v>
      </c>
      <c r="L20" s="5" t="n">
        <v>1.146</v>
      </c>
      <c r="M20" s="2" t="s">
        <v>46</v>
      </c>
      <c r="N20" s="5" t="n">
        <v>0.391469</v>
      </c>
      <c r="O20" s="2" t="s">
        <v>46</v>
      </c>
      <c r="P20" s="5" t="n">
        <v>0.391469</v>
      </c>
      <c r="Q20" s="2" t="s">
        <v>46</v>
      </c>
      <c r="V20" s="5" t="n">
        <v>0.617</v>
      </c>
      <c r="W20" s="2" t="s">
        <v>46</v>
      </c>
      <c r="X20" s="5" t="n">
        <v>0.210765</v>
      </c>
      <c r="Y20" s="2" t="s">
        <v>46</v>
      </c>
      <c r="Z20" s="5" t="n">
        <v>0.210765</v>
      </c>
      <c r="AA20" s="2" t="s">
        <v>46</v>
      </c>
      <c r="AF20" s="5" t="n">
        <v>0.063</v>
      </c>
      <c r="AG20" s="2" t="s">
        <v>46</v>
      </c>
      <c r="AH20" s="5" t="n">
        <v>0.021521</v>
      </c>
      <c r="AI20" s="2" t="s">
        <v>46</v>
      </c>
      <c r="AJ20" s="5" t="n">
        <v>0.021521</v>
      </c>
      <c r="AK20" s="2" t="s">
        <v>46</v>
      </c>
      <c r="AP20" s="5" t="n">
        <v>5.16</v>
      </c>
      <c r="AQ20" s="2" t="s">
        <v>46</v>
      </c>
      <c r="AR20" s="5" t="n">
        <v>1.762634</v>
      </c>
      <c r="AS20" s="2" t="s">
        <v>46</v>
      </c>
      <c r="AT20" s="5" t="n">
        <v>1.762634</v>
      </c>
      <c r="AU20" s="2" t="s">
        <v>46</v>
      </c>
      <c r="AZ20" s="5" t="n">
        <v>4.11</v>
      </c>
      <c r="BA20" s="2" t="s">
        <v>46</v>
      </c>
      <c r="BB20" s="5" t="n">
        <v>1.403958</v>
      </c>
      <c r="BC20" s="2" t="s">
        <v>46</v>
      </c>
      <c r="BD20" s="5" t="n">
        <v>1.403958</v>
      </c>
      <c r="BE20" s="2" t="s">
        <v>46</v>
      </c>
      <c r="BJ20" s="5" t="n">
        <v>4.41</v>
      </c>
      <c r="BK20" s="2" t="s">
        <v>46</v>
      </c>
      <c r="BL20" s="0" t="n">
        <f aca="false">BJ20*0.4</f>
        <v>1.764</v>
      </c>
      <c r="BN20" s="0" t="n">
        <f aca="false">BP20*0.9</f>
        <v>0</v>
      </c>
      <c r="BP20" s="5" t="n">
        <v>0</v>
      </c>
      <c r="BQ20" s="2" t="s">
        <v>46</v>
      </c>
      <c r="BR20" s="5" t="n">
        <v>12.91</v>
      </c>
      <c r="BS20" s="5" t="n">
        <v>4.410002</v>
      </c>
      <c r="BT20" s="5" t="n">
        <v>4.410002</v>
      </c>
      <c r="BU20" s="5" t="n">
        <v>0</v>
      </c>
      <c r="BV20" s="5" t="n">
        <v>0</v>
      </c>
      <c r="BW20" s="5" t="n">
        <v>4.41</v>
      </c>
      <c r="BX20" s="5" t="n">
        <v>0</v>
      </c>
      <c r="BY20" s="5" t="n">
        <v>0</v>
      </c>
      <c r="BZ20" s="5" t="n">
        <v>0</v>
      </c>
    </row>
    <row r="21" customFormat="false" ht="13.8" hidden="false" customHeight="false" outlineLevel="0" collapsed="false">
      <c r="A21" s="3" t="n">
        <v>45383.3125</v>
      </c>
      <c r="B21" s="5" t="n">
        <v>1.632</v>
      </c>
      <c r="C21" s="2" t="s">
        <v>46</v>
      </c>
      <c r="D21" s="5" t="n">
        <v>0.630328</v>
      </c>
      <c r="E21" s="2" t="s">
        <v>46</v>
      </c>
      <c r="F21" s="5" t="n">
        <v>0.630328</v>
      </c>
      <c r="G21" s="2" t="s">
        <v>46</v>
      </c>
      <c r="H21" s="5" t="n">
        <f aca="false">F21*0.8</f>
        <v>0.5042624</v>
      </c>
      <c r="J21" s="0" t="n">
        <f aca="false">B21*0.6</f>
        <v>0.9792</v>
      </c>
      <c r="L21" s="5" t="n">
        <v>1.124</v>
      </c>
      <c r="M21" s="2" t="s">
        <v>46</v>
      </c>
      <c r="N21" s="5" t="n">
        <v>0.434123</v>
      </c>
      <c r="O21" s="2" t="s">
        <v>46</v>
      </c>
      <c r="P21" s="5" t="n">
        <v>0.434123</v>
      </c>
      <c r="Q21" s="2" t="s">
        <v>46</v>
      </c>
      <c r="V21" s="5" t="n">
        <v>0.412</v>
      </c>
      <c r="W21" s="2" t="s">
        <v>46</v>
      </c>
      <c r="X21" s="5" t="n">
        <v>0.159127</v>
      </c>
      <c r="Y21" s="2" t="s">
        <v>46</v>
      </c>
      <c r="Z21" s="5" t="n">
        <v>0.159127</v>
      </c>
      <c r="AA21" s="2" t="s">
        <v>46</v>
      </c>
      <c r="AF21" s="5" t="n">
        <v>0.062</v>
      </c>
      <c r="AG21" s="2" t="s">
        <v>46</v>
      </c>
      <c r="AH21" s="5" t="n">
        <v>0.023946</v>
      </c>
      <c r="AI21" s="2" t="s">
        <v>46</v>
      </c>
      <c r="AJ21" s="5" t="n">
        <v>0.023946</v>
      </c>
      <c r="AK21" s="2" t="s">
        <v>46</v>
      </c>
      <c r="AP21" s="5" t="n">
        <v>5.175</v>
      </c>
      <c r="AQ21" s="2" t="s">
        <v>46</v>
      </c>
      <c r="AR21" s="5" t="n">
        <v>1.998744</v>
      </c>
      <c r="AS21" s="2" t="s">
        <v>46</v>
      </c>
      <c r="AT21" s="5" t="n">
        <v>1.998744</v>
      </c>
      <c r="AU21" s="2" t="s">
        <v>46</v>
      </c>
      <c r="AZ21" s="5" t="n">
        <v>6.12</v>
      </c>
      <c r="BA21" s="2" t="s">
        <v>46</v>
      </c>
      <c r="BB21" s="5" t="n">
        <v>2.363731</v>
      </c>
      <c r="BC21" s="2" t="s">
        <v>46</v>
      </c>
      <c r="BD21" s="5" t="n">
        <v>2.363731</v>
      </c>
      <c r="BE21" s="2" t="s">
        <v>46</v>
      </c>
      <c r="BJ21" s="5" t="n">
        <v>5.61</v>
      </c>
      <c r="BK21" s="2" t="s">
        <v>46</v>
      </c>
      <c r="BL21" s="0" t="n">
        <f aca="false">BJ21*0.4</f>
        <v>2.244</v>
      </c>
      <c r="BN21" s="0" t="n">
        <f aca="false">BP21*0.9</f>
        <v>9E-007</v>
      </c>
      <c r="BP21" s="5" t="n">
        <v>1E-006</v>
      </c>
      <c r="BQ21" s="2" t="s">
        <v>46</v>
      </c>
      <c r="BR21" s="5" t="n">
        <v>14.525</v>
      </c>
      <c r="BS21" s="5" t="n">
        <v>5.609999</v>
      </c>
      <c r="BT21" s="5" t="n">
        <v>5.609999</v>
      </c>
      <c r="BU21" s="5" t="n">
        <v>0</v>
      </c>
      <c r="BV21" s="5" t="n">
        <v>0</v>
      </c>
      <c r="BW21" s="5" t="n">
        <v>5.61</v>
      </c>
      <c r="BX21" s="5" t="n">
        <v>0</v>
      </c>
      <c r="BY21" s="5" t="n">
        <v>0</v>
      </c>
      <c r="BZ21" s="5" t="n">
        <v>1E-006</v>
      </c>
    </row>
    <row r="22" customFormat="false" ht="13.8" hidden="false" customHeight="false" outlineLevel="0" collapsed="false">
      <c r="A22" s="3" t="n">
        <v>45383.3229166667</v>
      </c>
      <c r="B22" s="5" t="n">
        <v>1.534</v>
      </c>
      <c r="C22" s="2" t="s">
        <v>46</v>
      </c>
      <c r="D22" s="5" t="n">
        <v>1.198511</v>
      </c>
      <c r="E22" s="2" t="s">
        <v>46</v>
      </c>
      <c r="F22" s="5" t="n">
        <v>1.198511</v>
      </c>
      <c r="G22" s="2" t="s">
        <v>46</v>
      </c>
      <c r="H22" s="5" t="n">
        <f aca="false">F22*0.8</f>
        <v>0.9588088</v>
      </c>
      <c r="J22" s="0" t="n">
        <f aca="false">B22*0.6</f>
        <v>0.9204</v>
      </c>
      <c r="L22" s="5" t="n">
        <v>1.281</v>
      </c>
      <c r="M22" s="2" t="s">
        <v>46</v>
      </c>
      <c r="N22" s="5" t="n">
        <v>1.000842</v>
      </c>
      <c r="O22" s="2" t="s">
        <v>46</v>
      </c>
      <c r="P22" s="5" t="n">
        <v>1.000842</v>
      </c>
      <c r="Q22" s="2" t="s">
        <v>46</v>
      </c>
      <c r="V22" s="5" t="n">
        <v>0.784</v>
      </c>
      <c r="W22" s="2" t="s">
        <v>46</v>
      </c>
      <c r="X22" s="5" t="n">
        <v>0.612537</v>
      </c>
      <c r="Y22" s="2" t="s">
        <v>46</v>
      </c>
      <c r="Z22" s="5" t="n">
        <v>0.612537</v>
      </c>
      <c r="AA22" s="2" t="s">
        <v>46</v>
      </c>
      <c r="AF22" s="5" t="n">
        <v>0.066</v>
      </c>
      <c r="AG22" s="2" t="s">
        <v>46</v>
      </c>
      <c r="AH22" s="5" t="n">
        <v>0.051566</v>
      </c>
      <c r="AI22" s="2" t="s">
        <v>46</v>
      </c>
      <c r="AJ22" s="5" t="n">
        <v>0.051566</v>
      </c>
      <c r="AK22" s="2" t="s">
        <v>46</v>
      </c>
      <c r="AP22" s="5" t="n">
        <v>4.2675</v>
      </c>
      <c r="AQ22" s="2" t="s">
        <v>46</v>
      </c>
      <c r="AR22" s="5" t="n">
        <v>3.334188</v>
      </c>
      <c r="AS22" s="2" t="s">
        <v>46</v>
      </c>
      <c r="AT22" s="5" t="n">
        <v>3.334188</v>
      </c>
      <c r="AU22" s="2" t="s">
        <v>46</v>
      </c>
      <c r="AZ22" s="5" t="n">
        <v>3.51</v>
      </c>
      <c r="BA22" s="2" t="s">
        <v>46</v>
      </c>
      <c r="BB22" s="5" t="n">
        <v>2.742355</v>
      </c>
      <c r="BC22" s="2" t="s">
        <v>46</v>
      </c>
      <c r="BD22" s="5" t="n">
        <v>2.742355</v>
      </c>
      <c r="BE22" s="2" t="s">
        <v>46</v>
      </c>
      <c r="BJ22" s="5" t="n">
        <v>8.94</v>
      </c>
      <c r="BK22" s="2" t="s">
        <v>46</v>
      </c>
      <c r="BL22" s="0" t="n">
        <f aca="false">BJ22*0.4</f>
        <v>3.576</v>
      </c>
      <c r="BN22" s="0" t="n">
        <f aca="false">BP22*0.9</f>
        <v>0.09</v>
      </c>
      <c r="BP22" s="5" t="n">
        <v>0.1</v>
      </c>
      <c r="BQ22" s="2" t="s">
        <v>46</v>
      </c>
      <c r="BR22" s="5" t="n">
        <v>11.4425</v>
      </c>
      <c r="BS22" s="5" t="n">
        <v>8.939999</v>
      </c>
      <c r="BT22" s="5" t="n">
        <v>8.939999</v>
      </c>
      <c r="BU22" s="5" t="n">
        <v>0</v>
      </c>
      <c r="BV22" s="5" t="n">
        <v>0</v>
      </c>
      <c r="BW22" s="5" t="n">
        <v>8.94</v>
      </c>
      <c r="BX22" s="5" t="n">
        <v>0</v>
      </c>
      <c r="BY22" s="5" t="n">
        <v>0</v>
      </c>
      <c r="BZ22" s="5" t="n">
        <v>1E-006</v>
      </c>
    </row>
    <row r="23" customFormat="false" ht="13.8" hidden="false" customHeight="false" outlineLevel="0" collapsed="false">
      <c r="A23" s="3" t="n">
        <v>45383.3333333333</v>
      </c>
      <c r="B23" s="5" t="n">
        <v>1.38</v>
      </c>
      <c r="C23" s="2" t="s">
        <v>46</v>
      </c>
      <c r="D23" s="5" t="n">
        <v>1.234198</v>
      </c>
      <c r="E23" s="2" t="s">
        <v>46</v>
      </c>
      <c r="F23" s="5" t="n">
        <v>1.234198</v>
      </c>
      <c r="G23" s="2" t="s">
        <v>46</v>
      </c>
      <c r="H23" s="5" t="n">
        <f aca="false">F23*0.8</f>
        <v>0.9873584</v>
      </c>
      <c r="J23" s="0" t="n">
        <f aca="false">B23*0.6</f>
        <v>0.828</v>
      </c>
      <c r="L23" s="5" t="n">
        <v>1.166</v>
      </c>
      <c r="M23" s="2" t="s">
        <v>46</v>
      </c>
      <c r="N23" s="5" t="n">
        <v>1.042808</v>
      </c>
      <c r="O23" s="2" t="s">
        <v>46</v>
      </c>
      <c r="P23" s="5" t="n">
        <v>1.042808</v>
      </c>
      <c r="Q23" s="2" t="s">
        <v>46</v>
      </c>
      <c r="V23" s="5" t="n">
        <v>0.632</v>
      </c>
      <c r="W23" s="2" t="s">
        <v>46</v>
      </c>
      <c r="X23" s="5" t="n">
        <v>0.565227</v>
      </c>
      <c r="Y23" s="2" t="s">
        <v>46</v>
      </c>
      <c r="Z23" s="5" t="n">
        <v>0.565227</v>
      </c>
      <c r="AA23" s="2" t="s">
        <v>46</v>
      </c>
      <c r="AF23" s="5" t="n">
        <v>0.073</v>
      </c>
      <c r="AG23" s="2" t="s">
        <v>46</v>
      </c>
      <c r="AH23" s="5" t="n">
        <v>0.065287</v>
      </c>
      <c r="AI23" s="2" t="s">
        <v>46</v>
      </c>
      <c r="AJ23" s="5" t="n">
        <v>0.065287</v>
      </c>
      <c r="AK23" s="2" t="s">
        <v>46</v>
      </c>
      <c r="AP23" s="5" t="n">
        <v>5.6775</v>
      </c>
      <c r="AQ23" s="2" t="s">
        <v>46</v>
      </c>
      <c r="AR23" s="5" t="n">
        <v>5.077652</v>
      </c>
      <c r="AS23" s="2" t="s">
        <v>46</v>
      </c>
      <c r="AT23" s="5" t="n">
        <v>5.077652</v>
      </c>
      <c r="AU23" s="2" t="s">
        <v>46</v>
      </c>
      <c r="AZ23" s="5" t="n">
        <v>5.16</v>
      </c>
      <c r="BA23" s="2" t="s">
        <v>46</v>
      </c>
      <c r="BB23" s="5" t="n">
        <v>4.614828</v>
      </c>
      <c r="BC23" s="2" t="s">
        <v>46</v>
      </c>
      <c r="BD23" s="5" t="n">
        <v>4.614828</v>
      </c>
      <c r="BE23" s="2" t="s">
        <v>46</v>
      </c>
      <c r="BJ23" s="5" t="n">
        <v>12.6</v>
      </c>
      <c r="BK23" s="2" t="s">
        <v>46</v>
      </c>
      <c r="BL23" s="0" t="n">
        <f aca="false">BJ23*0.4</f>
        <v>5.04</v>
      </c>
      <c r="BN23" s="0" t="n">
        <f aca="false">BP23*0.9</f>
        <v>0</v>
      </c>
      <c r="BP23" s="5" t="n">
        <v>0</v>
      </c>
      <c r="BQ23" s="2" t="s">
        <v>46</v>
      </c>
      <c r="BR23" s="5" t="n">
        <v>14.0885</v>
      </c>
      <c r="BS23" s="5" t="n">
        <v>12.6</v>
      </c>
      <c r="BT23" s="5" t="n">
        <v>12.6</v>
      </c>
      <c r="BU23" s="5" t="n">
        <v>0</v>
      </c>
      <c r="BV23" s="5" t="n">
        <v>0</v>
      </c>
      <c r="BW23" s="5" t="n">
        <v>12.6</v>
      </c>
      <c r="BX23" s="5" t="n">
        <v>0</v>
      </c>
      <c r="BY23" s="5" t="n">
        <v>0</v>
      </c>
      <c r="BZ23" s="5" t="n">
        <v>0</v>
      </c>
    </row>
    <row r="24" customFormat="false" ht="13.8" hidden="false" customHeight="false" outlineLevel="0" collapsed="false">
      <c r="A24" s="3" t="n">
        <v>45383.34375</v>
      </c>
      <c r="B24" s="5" t="n">
        <v>1.565</v>
      </c>
      <c r="C24" s="2" t="s">
        <v>46</v>
      </c>
      <c r="D24" s="5" t="n">
        <v>1.216186</v>
      </c>
      <c r="E24" s="2" t="s">
        <v>46</v>
      </c>
      <c r="F24" s="5" t="n">
        <v>1.216186</v>
      </c>
      <c r="G24" s="2" t="s">
        <v>46</v>
      </c>
      <c r="H24" s="5" t="n">
        <f aca="false">F24*0.8</f>
        <v>0.9729488</v>
      </c>
      <c r="J24" s="0" t="n">
        <f aca="false">B24*0.6</f>
        <v>0.939</v>
      </c>
      <c r="L24" s="5" t="n">
        <v>1.148</v>
      </c>
      <c r="M24" s="2" t="s">
        <v>46</v>
      </c>
      <c r="N24" s="5" t="n">
        <v>0.892129</v>
      </c>
      <c r="O24" s="2" t="s">
        <v>46</v>
      </c>
      <c r="P24" s="5" t="n">
        <v>0.892129</v>
      </c>
      <c r="Q24" s="2" t="s">
        <v>46</v>
      </c>
      <c r="V24" s="5" t="n">
        <v>0.786</v>
      </c>
      <c r="W24" s="2" t="s">
        <v>46</v>
      </c>
      <c r="X24" s="5" t="n">
        <v>0.610813</v>
      </c>
      <c r="Y24" s="2" t="s">
        <v>46</v>
      </c>
      <c r="Z24" s="5" t="n">
        <v>0.610813</v>
      </c>
      <c r="AA24" s="2" t="s">
        <v>46</v>
      </c>
      <c r="AF24" s="5" t="n">
        <v>0.041</v>
      </c>
      <c r="AG24" s="2" t="s">
        <v>46</v>
      </c>
      <c r="AH24" s="5" t="n">
        <v>0.031862</v>
      </c>
      <c r="AI24" s="2" t="s">
        <v>46</v>
      </c>
      <c r="AJ24" s="5" t="n">
        <v>0.031862</v>
      </c>
      <c r="AK24" s="2" t="s">
        <v>46</v>
      </c>
      <c r="AP24" s="5" t="n">
        <v>10.1475</v>
      </c>
      <c r="AQ24" s="2" t="s">
        <v>46</v>
      </c>
      <c r="AR24" s="5" t="n">
        <v>7.885781</v>
      </c>
      <c r="AS24" s="2" t="s">
        <v>46</v>
      </c>
      <c r="AT24" s="5" t="n">
        <v>7.885781</v>
      </c>
      <c r="AU24" s="2" t="s">
        <v>46</v>
      </c>
      <c r="AZ24" s="5" t="n">
        <v>5.19</v>
      </c>
      <c r="BA24" s="2" t="s">
        <v>46</v>
      </c>
      <c r="BB24" s="5" t="n">
        <v>4.03323</v>
      </c>
      <c r="BC24" s="2" t="s">
        <v>46</v>
      </c>
      <c r="BD24" s="5" t="n">
        <v>4.03323</v>
      </c>
      <c r="BE24" s="2" t="s">
        <v>46</v>
      </c>
      <c r="BJ24" s="5" t="n">
        <v>14.67</v>
      </c>
      <c r="BK24" s="2" t="s">
        <v>46</v>
      </c>
      <c r="BL24" s="0" t="n">
        <f aca="false">BJ24*0.4</f>
        <v>5.868</v>
      </c>
      <c r="BN24" s="0" t="n">
        <f aca="false">BP24*0.9</f>
        <v>0</v>
      </c>
      <c r="BP24" s="5" t="n">
        <v>0</v>
      </c>
      <c r="BQ24" s="2" t="s">
        <v>46</v>
      </c>
      <c r="BR24" s="5" t="n">
        <v>18.8775</v>
      </c>
      <c r="BS24" s="5" t="n">
        <v>14.670001</v>
      </c>
      <c r="BT24" s="5" t="n">
        <v>14.670001</v>
      </c>
      <c r="BU24" s="5" t="n">
        <v>0</v>
      </c>
      <c r="BV24" s="5" t="n">
        <v>0</v>
      </c>
      <c r="BW24" s="5" t="n">
        <v>14.67</v>
      </c>
      <c r="BX24" s="5" t="n">
        <v>0</v>
      </c>
      <c r="BY24" s="5" t="n">
        <v>0</v>
      </c>
      <c r="BZ24" s="5" t="n">
        <v>0</v>
      </c>
    </row>
    <row r="25" customFormat="false" ht="13.8" hidden="false" customHeight="false" outlineLevel="0" collapsed="false">
      <c r="A25" s="3" t="n">
        <v>45383.3541666667</v>
      </c>
      <c r="B25" s="5" t="n">
        <v>1.545</v>
      </c>
      <c r="C25" s="2" t="s">
        <v>46</v>
      </c>
      <c r="D25" s="5" t="n">
        <v>1.384754</v>
      </c>
      <c r="E25" s="2" t="s">
        <v>46</v>
      </c>
      <c r="F25" s="5" t="n">
        <v>1.384754</v>
      </c>
      <c r="G25" s="2" t="s">
        <v>46</v>
      </c>
      <c r="H25" s="5" t="n">
        <f aca="false">F25*0.8</f>
        <v>1.1078032</v>
      </c>
      <c r="J25" s="0" t="n">
        <f aca="false">B25*0.6</f>
        <v>0.927</v>
      </c>
      <c r="L25" s="5" t="n">
        <v>1.214</v>
      </c>
      <c r="M25" s="2" t="s">
        <v>46</v>
      </c>
      <c r="N25" s="5" t="n">
        <v>1.088085</v>
      </c>
      <c r="O25" s="2" t="s">
        <v>46</v>
      </c>
      <c r="P25" s="5" t="n">
        <v>1.088085</v>
      </c>
      <c r="Q25" s="2" t="s">
        <v>46</v>
      </c>
      <c r="V25" s="5" t="n">
        <v>0.359</v>
      </c>
      <c r="W25" s="2" t="s">
        <v>46</v>
      </c>
      <c r="X25" s="5" t="n">
        <v>0.321765</v>
      </c>
      <c r="Y25" s="2" t="s">
        <v>46</v>
      </c>
      <c r="Z25" s="5" t="n">
        <v>0.321765</v>
      </c>
      <c r="AA25" s="2" t="s">
        <v>46</v>
      </c>
      <c r="AF25" s="5" t="n">
        <v>0.095</v>
      </c>
      <c r="AG25" s="2" t="s">
        <v>46</v>
      </c>
      <c r="AH25" s="5" t="n">
        <v>0.085147</v>
      </c>
      <c r="AI25" s="2" t="s">
        <v>46</v>
      </c>
      <c r="AJ25" s="5" t="n">
        <v>0.085147</v>
      </c>
      <c r="AK25" s="2" t="s">
        <v>46</v>
      </c>
      <c r="AP25" s="5" t="n">
        <v>9.7875</v>
      </c>
      <c r="AQ25" s="2" t="s">
        <v>46</v>
      </c>
      <c r="AR25" s="5" t="n">
        <v>8.772349</v>
      </c>
      <c r="AS25" s="2" t="s">
        <v>46</v>
      </c>
      <c r="AT25" s="5" t="n">
        <v>8.772349</v>
      </c>
      <c r="AU25" s="2" t="s">
        <v>46</v>
      </c>
      <c r="AZ25" s="5" t="n">
        <v>6.48</v>
      </c>
      <c r="BA25" s="2" t="s">
        <v>46</v>
      </c>
      <c r="BB25" s="5" t="n">
        <v>5.8079</v>
      </c>
      <c r="BC25" s="2" t="s">
        <v>46</v>
      </c>
      <c r="BD25" s="5" t="n">
        <v>5.8079</v>
      </c>
      <c r="BE25" s="2" t="s">
        <v>46</v>
      </c>
      <c r="BJ25" s="5" t="n">
        <v>17.46</v>
      </c>
      <c r="BK25" s="2" t="s">
        <v>46</v>
      </c>
      <c r="BL25" s="0" t="n">
        <f aca="false">BJ25*0.4</f>
        <v>6.984</v>
      </c>
      <c r="BN25" s="0" t="n">
        <f aca="false">BP25*0.9</f>
        <v>0</v>
      </c>
      <c r="BP25" s="5" t="n">
        <v>0</v>
      </c>
      <c r="BQ25" s="2" t="s">
        <v>46</v>
      </c>
      <c r="BR25" s="5" t="n">
        <v>19.4805</v>
      </c>
      <c r="BS25" s="5" t="n">
        <v>17.46</v>
      </c>
      <c r="BT25" s="5" t="n">
        <v>17.46</v>
      </c>
      <c r="BU25" s="5" t="n">
        <v>0</v>
      </c>
      <c r="BV25" s="5" t="n">
        <v>0</v>
      </c>
      <c r="BW25" s="5" t="n">
        <v>17.46</v>
      </c>
      <c r="BX25" s="5" t="n">
        <v>0</v>
      </c>
      <c r="BY25" s="5" t="n">
        <v>0</v>
      </c>
      <c r="BZ25" s="5" t="n">
        <v>0</v>
      </c>
    </row>
    <row r="26" customFormat="false" ht="13.8" hidden="false" customHeight="false" outlineLevel="0" collapsed="false">
      <c r="A26" s="3" t="n">
        <v>45383.3645833333</v>
      </c>
      <c r="B26" s="5" t="n">
        <v>1.678</v>
      </c>
      <c r="C26" s="2" t="s">
        <v>46</v>
      </c>
      <c r="D26" s="5" t="n">
        <v>1.430015</v>
      </c>
      <c r="E26" s="2" t="s">
        <v>46</v>
      </c>
      <c r="F26" s="5" t="n">
        <v>1.430015</v>
      </c>
      <c r="G26" s="2" t="s">
        <v>46</v>
      </c>
      <c r="H26" s="5" t="n">
        <f aca="false">F26*0.8</f>
        <v>1.144012</v>
      </c>
      <c r="J26" s="0" t="n">
        <f aca="false">B26*0.6</f>
        <v>1.0068</v>
      </c>
      <c r="L26" s="5" t="n">
        <v>1.116</v>
      </c>
      <c r="M26" s="2" t="s">
        <v>46</v>
      </c>
      <c r="N26" s="5" t="n">
        <v>0.951071</v>
      </c>
      <c r="O26" s="2" t="s">
        <v>46</v>
      </c>
      <c r="P26" s="5" t="n">
        <v>0.951071</v>
      </c>
      <c r="Q26" s="2" t="s">
        <v>46</v>
      </c>
      <c r="V26" s="5" t="n">
        <v>0.703</v>
      </c>
      <c r="W26" s="2" t="s">
        <v>46</v>
      </c>
      <c r="X26" s="5" t="n">
        <v>0.599106</v>
      </c>
      <c r="Y26" s="2" t="s">
        <v>46</v>
      </c>
      <c r="Z26" s="5" t="n">
        <v>0.599106</v>
      </c>
      <c r="AA26" s="2" t="s">
        <v>46</v>
      </c>
      <c r="AF26" s="5" t="n">
        <v>0.042</v>
      </c>
      <c r="AG26" s="2" t="s">
        <v>46</v>
      </c>
      <c r="AH26" s="5" t="n">
        <v>0.035793</v>
      </c>
      <c r="AI26" s="2" t="s">
        <v>46</v>
      </c>
      <c r="AJ26" s="5" t="n">
        <v>0.035793</v>
      </c>
      <c r="AK26" s="2" t="s">
        <v>46</v>
      </c>
      <c r="AP26" s="5" t="n">
        <v>12.4875</v>
      </c>
      <c r="AQ26" s="2" t="s">
        <v>46</v>
      </c>
      <c r="AR26" s="5" t="n">
        <v>10.64202</v>
      </c>
      <c r="AS26" s="2" t="s">
        <v>46</v>
      </c>
      <c r="AT26" s="5" t="n">
        <v>10.64202</v>
      </c>
      <c r="AU26" s="2" t="s">
        <v>46</v>
      </c>
      <c r="AZ26" s="5" t="n">
        <v>8.58</v>
      </c>
      <c r="BA26" s="2" t="s">
        <v>46</v>
      </c>
      <c r="BB26" s="5" t="n">
        <v>7.311995</v>
      </c>
      <c r="BC26" s="2" t="s">
        <v>46</v>
      </c>
      <c r="BD26" s="5" t="n">
        <v>7.311995</v>
      </c>
      <c r="BE26" s="2" t="s">
        <v>46</v>
      </c>
      <c r="BJ26" s="5" t="n">
        <v>20.97</v>
      </c>
      <c r="BK26" s="2" t="s">
        <v>46</v>
      </c>
      <c r="BL26" s="0" t="n">
        <f aca="false">BJ26*0.4</f>
        <v>8.388</v>
      </c>
      <c r="BN26" s="0" t="n">
        <f aca="false">BP26*0.9</f>
        <v>0</v>
      </c>
      <c r="BP26" s="5" t="n">
        <v>0</v>
      </c>
      <c r="BQ26" s="2" t="s">
        <v>46</v>
      </c>
      <c r="BR26" s="5" t="n">
        <v>24.6065</v>
      </c>
      <c r="BS26" s="5" t="n">
        <v>20.97</v>
      </c>
      <c r="BT26" s="5" t="n">
        <v>20.97</v>
      </c>
      <c r="BU26" s="5" t="n">
        <v>0</v>
      </c>
      <c r="BV26" s="5" t="n">
        <v>0</v>
      </c>
      <c r="BW26" s="5" t="n">
        <v>20.97</v>
      </c>
      <c r="BX26" s="5" t="n">
        <v>0</v>
      </c>
      <c r="BY26" s="5" t="n">
        <v>0</v>
      </c>
      <c r="BZ26" s="5" t="n">
        <v>0</v>
      </c>
    </row>
    <row r="27" customFormat="false" ht="13.8" hidden="false" customHeight="false" outlineLevel="0" collapsed="false">
      <c r="A27" s="3" t="n">
        <v>45383.375</v>
      </c>
      <c r="B27" s="5" t="n">
        <v>1.712</v>
      </c>
      <c r="C27" s="2" t="s">
        <v>46</v>
      </c>
      <c r="D27" s="5" t="n">
        <v>2.069223</v>
      </c>
      <c r="E27" s="2" t="s">
        <v>46</v>
      </c>
      <c r="F27" s="5" t="n">
        <v>1.712</v>
      </c>
      <c r="G27" s="2" t="s">
        <v>46</v>
      </c>
      <c r="H27" s="5" t="n">
        <f aca="false">F27*0.8</f>
        <v>1.3696</v>
      </c>
      <c r="J27" s="0" t="n">
        <f aca="false">B27*0.6</f>
        <v>1.0272</v>
      </c>
      <c r="L27" s="5" t="n">
        <v>0.977</v>
      </c>
      <c r="M27" s="2" t="s">
        <v>46</v>
      </c>
      <c r="N27" s="5" t="n">
        <v>1.180859</v>
      </c>
      <c r="O27" s="2" t="s">
        <v>46</v>
      </c>
      <c r="P27" s="5" t="n">
        <v>0.977</v>
      </c>
      <c r="Q27" s="2" t="s">
        <v>46</v>
      </c>
      <c r="V27" s="5" t="n">
        <v>0.833</v>
      </c>
      <c r="W27" s="2" t="s">
        <v>46</v>
      </c>
      <c r="X27" s="5" t="n">
        <v>1.006812</v>
      </c>
      <c r="Y27" s="2" t="s">
        <v>46</v>
      </c>
      <c r="Z27" s="5" t="n">
        <v>0.833</v>
      </c>
      <c r="AA27" s="2" t="s">
        <v>46</v>
      </c>
      <c r="AF27" s="5" t="n">
        <v>0.074</v>
      </c>
      <c r="AG27" s="2" t="s">
        <v>46</v>
      </c>
      <c r="AH27" s="5" t="n">
        <v>0.089441</v>
      </c>
      <c r="AI27" s="2" t="s">
        <v>46</v>
      </c>
      <c r="AJ27" s="5" t="n">
        <v>0.074</v>
      </c>
      <c r="AK27" s="2" t="s">
        <v>46</v>
      </c>
      <c r="AP27" s="5" t="n">
        <v>9.255</v>
      </c>
      <c r="AQ27" s="2" t="s">
        <v>46</v>
      </c>
      <c r="AR27" s="5" t="n">
        <v>11.186131</v>
      </c>
      <c r="AS27" s="2" t="s">
        <v>46</v>
      </c>
      <c r="AT27" s="5" t="n">
        <v>9.255</v>
      </c>
      <c r="AU27" s="2" t="s">
        <v>46</v>
      </c>
      <c r="AZ27" s="5" t="n">
        <v>7.8</v>
      </c>
      <c r="BA27" s="2" t="s">
        <v>46</v>
      </c>
      <c r="BB27" s="5" t="n">
        <v>9.427534</v>
      </c>
      <c r="BC27" s="2" t="s">
        <v>46</v>
      </c>
      <c r="BD27" s="5" t="n">
        <v>7.8</v>
      </c>
      <c r="BE27" s="2" t="s">
        <v>46</v>
      </c>
      <c r="BJ27" s="5" t="n">
        <v>24.96</v>
      </c>
      <c r="BK27" s="2" t="s">
        <v>46</v>
      </c>
      <c r="BL27" s="0" t="n">
        <f aca="false">BJ27*0.4</f>
        <v>9.984</v>
      </c>
      <c r="BN27" s="0" t="n">
        <f aca="false">BP27*0.9</f>
        <v>3.8781</v>
      </c>
      <c r="BP27" s="5" t="n">
        <v>4.309</v>
      </c>
      <c r="BQ27" s="2" t="s">
        <v>46</v>
      </c>
      <c r="BR27" s="5" t="n">
        <v>20.651</v>
      </c>
      <c r="BS27" s="5" t="n">
        <v>24.96</v>
      </c>
      <c r="BT27" s="5" t="n">
        <v>20.651</v>
      </c>
      <c r="BU27" s="5" t="n">
        <v>0</v>
      </c>
      <c r="BV27" s="5" t="n">
        <v>0</v>
      </c>
      <c r="BW27" s="5" t="n">
        <v>24.96</v>
      </c>
      <c r="BX27" s="5" t="n">
        <v>0</v>
      </c>
      <c r="BY27" s="5" t="n">
        <v>0</v>
      </c>
      <c r="BZ27" s="5" t="n">
        <v>4.309</v>
      </c>
    </row>
    <row r="33" customFormat="false" ht="13.8" hidden="false" customHeight="false" outlineLevel="0" collapsed="false">
      <c r="H33" s="0" t="n">
        <f aca="false">F17+H17</f>
        <v>0.0361926</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202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2023-09-03T08:09:14Z</dcterms:created>
  <dc:creator>Apache POI</dc:creator>
  <dc:description/>
  <dc:language>en-US</dc:language>
  <cp:lastModifiedBy/>
  <dcterms:modified xsi:type="dcterms:W3CDTF">2024-04-24T21:27:55Z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file>